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niralipatel/Documents/02-data-insights/"/>
    </mc:Choice>
  </mc:AlternateContent>
  <xr:revisionPtr revIDLastSave="0" documentId="13_ncr:1_{0493552B-9E2D-EF40-BFE3-258FD23ADA8D}" xr6:coauthVersionLast="47" xr6:coauthVersionMax="47" xr10:uidLastSave="{00000000-0000-0000-0000-000000000000}"/>
  <bookViews>
    <workbookView xWindow="0" yWindow="660" windowWidth="30240" windowHeight="17740" activeTab="2" xr2:uid="{D7B0A664-92BE-454C-AF28-DCBE47B49E80}"/>
  </bookViews>
  <sheets>
    <sheet name="Sheet1" sheetId="2" r:id="rId1"/>
    <sheet name="Pivot tables" sheetId="3" r:id="rId2"/>
    <sheet name="customer_churn_large" sheetId="1" r:id="rId3"/>
  </sheets>
  <calcPr calcId="191029"/>
  <pivotCaches>
    <pivotCache cacheId="30" r:id="rId4"/>
    <pivotCache cacheId="3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</calcChain>
</file>

<file path=xl/sharedStrings.xml><?xml version="1.0" encoding="utf-8"?>
<sst xmlns="http://schemas.openxmlformats.org/spreadsheetml/2006/main" count="1237" uniqueCount="333">
  <si>
    <t>Customer_ID</t>
  </si>
  <si>
    <t>Tenure_Months</t>
  </si>
  <si>
    <t>Monthly_Charges</t>
  </si>
  <si>
    <t>Total_Charges</t>
  </si>
  <si>
    <t>Contract_Type</t>
  </si>
  <si>
    <t>Payment_Method</t>
  </si>
  <si>
    <t>Churn</t>
  </si>
  <si>
    <t>CUST_1</t>
  </si>
  <si>
    <t>Two Year</t>
  </si>
  <si>
    <t>Electronic</t>
  </si>
  <si>
    <t>No</t>
  </si>
  <si>
    <t>CUST_2</t>
  </si>
  <si>
    <t>Month-to-Month</t>
  </si>
  <si>
    <t>Bank Transfer</t>
  </si>
  <si>
    <t>CUST_3</t>
  </si>
  <si>
    <t>One Year</t>
  </si>
  <si>
    <t>CUST_4</t>
  </si>
  <si>
    <t>CUST_5</t>
  </si>
  <si>
    <t>Credit Card</t>
  </si>
  <si>
    <t>CUST_6</t>
  </si>
  <si>
    <t>CUST_7</t>
  </si>
  <si>
    <t>CUST_8</t>
  </si>
  <si>
    <t>CUST_9</t>
  </si>
  <si>
    <t>CUST_10</t>
  </si>
  <si>
    <t>CUST_11</t>
  </si>
  <si>
    <t>CUST_12</t>
  </si>
  <si>
    <t>Yes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</si>
  <si>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</si>
  <si>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</si>
  <si>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</si>
  <si>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</si>
  <si>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</si>
  <si>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</si>
  <si>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</si>
  <si>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</si>
  <si>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</si>
  <si>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</si>
  <si>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</si>
  <si>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</si>
  <si>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</si>
  <si>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</si>
  <si>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</si>
  <si>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</si>
  <si>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</si>
  <si>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</si>
  <si>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</si>
  <si>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</si>
  <si>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</si>
  <si>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</si>
  <si>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</si>
  <si>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</si>
  <si>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</si>
  <si>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</si>
  <si>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</si>
  <si>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</si>
  <si>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</si>
  <si>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</si>
  <si>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</si>
  <si>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</si>
  <si>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</si>
  <si>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</si>
  <si>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</si>
  <si>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</si>
  <si>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</si>
  <si>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</si>
  <si>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</si>
  <si>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</si>
  <si>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</si>
  <si>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</si>
  <si>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</si>
  <si>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</si>
  <si>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</si>
  <si>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</si>
  <si>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</si>
  <si>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</si>
  <si>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</si>
  <si>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</si>
  <si>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</si>
  <si>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</si>
  <si>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</si>
  <si>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</si>
  <si>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</si>
  <si>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</si>
  <si>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</si>
  <si>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</si>
  <si>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</si>
  <si>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</si>
  <si>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</si>
  <si>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</si>
  <si>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</si>
  <si>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</si>
  <si>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</si>
  <si>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</si>
  <si>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</si>
  <si>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</si>
  <si>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</si>
  <si>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</si>
  <si>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</si>
  <si>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</si>
  <si>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</si>
  <si>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</si>
  <si>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</si>
  <si>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</si>
  <si>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</si>
  <si>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</si>
  <si>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</si>
  <si>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</si>
  <si>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</si>
  <si>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</si>
  <si>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</si>
  <si>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</si>
  <si>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</si>
  <si>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</si>
  <si>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</si>
  <si>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</si>
  <si>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</si>
  <si>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</si>
  <si>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</si>
  <si>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</si>
  <si>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</si>
  <si>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</si>
  <si>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</si>
  <si>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</si>
  <si>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</si>
  <si>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</si>
  <si>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</si>
  <si>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</si>
  <si>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</si>
  <si>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</si>
  <si>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</si>
  <si>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</si>
  <si>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</si>
  <si>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</si>
  <si>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</si>
  <si>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</si>
  <si>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</si>
  <si>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</si>
  <si>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</si>
  <si>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</si>
  <si>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</si>
  <si>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</si>
  <si>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</si>
  <si>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</si>
  <si>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</si>
  <si>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</si>
  <si>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</si>
  <si>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</si>
  <si>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</si>
  <si>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</si>
  <si>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</si>
  <si>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</si>
  <si>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</si>
  <si>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</si>
  <si>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</si>
  <si>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</si>
  <si>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</si>
  <si>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</si>
  <si>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</si>
  <si>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</si>
  <si>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</si>
  <si>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</si>
  <si>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</si>
  <si>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</si>
  <si>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</si>
  <si>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</si>
  <si>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</si>
  <si>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</si>
  <si>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</si>
  <si>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</si>
  <si>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</si>
  <si>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</si>
  <si>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</si>
  <si>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</si>
  <si>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</si>
  <si>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</si>
  <si>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</si>
  <si>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</si>
  <si>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</si>
  <si>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</si>
  <si>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</si>
  <si>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</si>
  <si>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</si>
  <si>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</si>
  <si>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</si>
  <si>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</si>
  <si>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</si>
  <si>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</si>
  <si>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</si>
  <si>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</si>
  <si>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</si>
  <si>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</si>
  <si>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</si>
  <si>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</si>
  <si>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</si>
  <si>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</si>
  <si>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</si>
  <si>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</si>
  <si>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</si>
  <si>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</si>
  <si>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</si>
  <si>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</si>
  <si>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</si>
  <si>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</si>
  <si>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</si>
  <si>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</si>
  <si>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</si>
  <si>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</si>
  <si>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</si>
  <si>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</si>
  <si>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</si>
  <si>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</si>
  <si>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</si>
  <si>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</si>
  <si>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</si>
  <si>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</si>
  <si>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</si>
  <si>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</si>
  <si>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</si>
  <si>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</si>
  <si>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</si>
  <si>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</si>
  <si>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</si>
  <si>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</si>
  <si>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</si>
  <si>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</si>
  <si>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</si>
  <si>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</si>
  <si>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</si>
  <si>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</si>
  <si>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</si>
  <si>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</si>
  <si>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</si>
  <si>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</si>
  <si>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</si>
  <si>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</si>
  <si>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</si>
  <si>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</si>
  <si>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</si>
  <si>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</si>
  <si>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</si>
  <si>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</si>
  <si>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</si>
  <si>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</si>
  <si>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</si>
  <si>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</si>
  <si>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</si>
  <si>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</si>
  <si>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</si>
  <si>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</si>
  <si>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</si>
  <si>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</si>
  <si>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</si>
  <si>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</si>
  <si>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</si>
  <si>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</si>
  <si>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</si>
  <si>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</si>
  <si>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</si>
  <si>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</si>
  <si>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</si>
  <si>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</si>
  <si>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</si>
  <si>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</si>
  <si>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</si>
  <si>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</si>
  <si>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</si>
  <si>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</si>
  <si>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</si>
  <si>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</si>
  <si>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</si>
  <si>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</si>
  <si>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</si>
  <si>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</si>
  <si>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</si>
  <si>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</si>
  <si>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</si>
  <si>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</si>
  <si>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</si>
  <si>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</si>
  <si>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</si>
  <si>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</si>
  <si>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</si>
  <si>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</si>
  <si>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</si>
  <si>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</si>
  <si>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</si>
  <si>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</si>
  <si>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</si>
  <si>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</si>
  <si>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</si>
  <si>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</si>
  <si>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</si>
  <si>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</si>
  <si>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</si>
  <si>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</si>
  <si>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</si>
  <si>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</si>
  <si>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</si>
  <si>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</si>
  <si>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</si>
  <si>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</si>
  <si>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</si>
  <si>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</si>
  <si>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</si>
  <si>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</si>
  <si>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</si>
  <si>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</si>
  <si>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</si>
  <si>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</si>
  <si>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</si>
  <si>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</si>
  <si>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</si>
  <si>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</si>
  <si>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</si>
  <si>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CUST_300</t>
  </si>
  <si>
    <t>KPI 1: Total Customers</t>
  </si>
  <si>
    <t>KPI 2: Churned Customers</t>
  </si>
  <si>
    <t>KPI 3: Churn Rate (%)</t>
  </si>
  <si>
    <t>Row Labels</t>
  </si>
  <si>
    <t>Grand Total</t>
  </si>
  <si>
    <t>Count of Churn</t>
  </si>
  <si>
    <t>Tenure_Group</t>
  </si>
  <si>
    <t>&gt;24 months</t>
  </si>
  <si>
    <t>(blank)</t>
  </si>
  <si>
    <t>Pivot 1 – Churn by Contract Type</t>
  </si>
  <si>
    <t>Pivot 2 – Churn by Tenure Group</t>
  </si>
  <si>
    <t>Pivot 3 – Churn by Payment Method</t>
  </si>
  <si>
    <t xml:space="preserve">Insight 1:
Customers on month-to-month contracts have the highest churn rate compared to long-term contracts.
Insight 2:
Customers with less than 12 months tenure show significantly higher churn risk.
Insight 3:
Churn varies by payment method, indicating potential payment experience issues.
</t>
  </si>
  <si>
    <t>Key Insights</t>
  </si>
  <si>
    <t>Key Risks</t>
  </si>
  <si>
    <t>Risk 1:
High reliance on month-to-month contracts increases revenue instability.
Risk 2:
Early customer churn suggests gaps in onboarding or early engagement.
Risk 3:
Payment-related churn may negatively impact customer retention.</t>
  </si>
  <si>
    <t>Recommendations</t>
  </si>
  <si>
    <t>Recommendation 1:
Offer incentives to convert month-to-month customers to long-term contracts.
Recommendation 2:
Improve onboarding and engagement during the first 90 days.
Recommendation 3:
Promote low-risk payment methods and improve payment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</si>
</sst>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rali Patel" refreshedDate="46026.885663773151" createdVersion="8" refreshedVersion="8" minRefreshableVersion="3" recordCount="300" xr:uid="{4204E712-4FEB-114C-BE8B-12C60C8FB530}">
  <cacheSource type="worksheet">
    <worksheetSource ref="A1:J301" sheet="customer_churn_large"/>
  </cacheSource>
  <cacheFields count="10">
    <cacheField name="Customer_ID" numFmtId="0">
      <sharedItems/>
    </cacheField>
    <cacheField name="Tenure_Months" numFmtId="0">
      <sharedItems containsSemiMixedTypes="0" containsString="0" containsNumber="1" containsInteger="1" minValue="1" maxValue="59"/>
    </cacheField>
    <cacheField name="Monthly_Charges" numFmtId="0">
      <sharedItems containsSemiMixedTypes="0" containsString="0" containsNumber="1" containsInteger="1" minValue="40" maxValue="119"/>
    </cacheField>
    <cacheField name="Total_Charges" numFmtId="0">
      <sharedItems containsSemiMixedTypes="0" containsString="0" containsNumber="1" containsInteger="1" minValue="43" maxValue="6902"/>
    </cacheField>
    <cacheField name="Contract_Type" numFmtId="0">
      <sharedItems count="3">
        <s v="Two Year"/>
        <s v="Month-to-Month"/>
        <s v="One Year"/>
      </sharedItems>
    </cacheField>
    <cacheField name="Payment_Method" numFmtId="0">
      <sharedItems/>
    </cacheField>
    <cacheField name="Churn" numFmtId="0">
      <sharedItems count="2">
        <s v="No"/>
        <s v="Yes"/>
      </sharedItems>
    </cacheField>
    <cacheField name="KPI 1: Total Customers" numFmtId="0">
      <sharedItems containsString="0" containsBlank="1" containsNumber="1" containsInteger="1" minValue="301" maxValue="301"/>
    </cacheField>
    <cacheField name="KPI 2: Churned Customers" numFmtId="0">
      <sharedItems containsString="0" containsBlank="1" containsNumber="1" containsInteger="1" minValue="34" maxValue="34"/>
    </cacheField>
    <cacheField name="KPI 3: Churn Rate (%)" numFmtId="0">
      <sharedItems containsString="0" containsBlank="1" containsNumber="1" minValue="0.11295681063122924" maxValue="0.112956810631229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rali Patel" refreshedDate="46026.890331712966" createdVersion="8" refreshedVersion="8" minRefreshableVersion="3" recordCount="300" xr:uid="{24C6C902-F428-1B4F-8254-AB1984F6FFD9}">
  <cacheSource type="worksheet">
    <worksheetSource ref="A1:K301" sheet="customer_churn_large"/>
  </cacheSource>
  <cacheFields count="11">
    <cacheField name="Customer_ID" numFmtId="0">
      <sharedItems/>
    </cacheField>
    <cacheField name="Tenure_Months" numFmtId="0">
      <sharedItems containsSemiMixedTypes="0" containsString="0" containsNumber="1" containsInteger="1" minValue="1" maxValue="59"/>
    </cacheField>
    <cacheField name="Monthly_Charges" numFmtId="0">
      <sharedItems containsSemiMixedTypes="0" containsString="0" containsNumber="1" containsInteger="1" minValue="40" maxValue="119"/>
    </cacheField>
    <cacheField name="Total_Charges" numFmtId="0">
      <sharedItems containsSemiMixedTypes="0" containsString="0" containsNumber="1" containsInteger="1" minValue="43" maxValue="6902"/>
    </cacheField>
    <cacheField name="Contract_Type" numFmtId="0">
      <sharedItems/>
    </cacheField>
    <cacheField name="Payment_Method" numFmtId="0">
      <sharedItems count="3">
        <s v="Electronic"/>
        <s v="Bank Transfer"/>
        <s v="Credit Card"/>
      </sharedItems>
    </cacheField>
    <cacheField name="Churn" numFmtId="0">
      <sharedItems/>
    </cacheField>
    <cacheField name="KPI 1: Total Customers" numFmtId="0">
      <sharedItems containsString="0" containsBlank="1" containsNumber="1" containsInteger="1" minValue="301" maxValue="301"/>
    </cacheField>
    <cacheField name="KPI 2: Churned Customers" numFmtId="0">
      <sharedItems containsString="0" containsBlank="1" containsNumber="1" containsInteger="1" minValue="34" maxValue="34"/>
    </cacheField>
    <cacheField name="KPI 3: Churn Rate (%)" numFmtId="0">
      <sharedItems containsString="0" containsBlank="1" containsNumber="1" minValue="0.11295681063122924" maxValue="0.11295681063122924"/>
    </cacheField>
    <cacheField name="Tenure_Group" numFmtId="0">
      <sharedItems containsBlank="1" count="2">
        <s v="&gt;24 month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CUST_1"/>
    <n v="39"/>
    <n v="75"/>
    <n v="2925"/>
    <x v="0"/>
    <s v="Electronic"/>
    <x v="0"/>
    <n v="301"/>
    <n v="34"/>
    <n v="0.11295681063122924"/>
  </r>
  <r>
    <s v="CUST_2"/>
    <n v="52"/>
    <n v="58"/>
    <n v="3016"/>
    <x v="1"/>
    <s v="Bank Transfer"/>
    <x v="0"/>
    <m/>
    <m/>
    <m/>
  </r>
  <r>
    <s v="CUST_3"/>
    <n v="29"/>
    <n v="106"/>
    <n v="3074"/>
    <x v="2"/>
    <s v="Electronic"/>
    <x v="0"/>
    <m/>
    <m/>
    <m/>
  </r>
  <r>
    <s v="CUST_4"/>
    <n v="15"/>
    <n v="58"/>
    <n v="870"/>
    <x v="2"/>
    <s v="Electronic"/>
    <x v="0"/>
    <m/>
    <m/>
    <m/>
  </r>
  <r>
    <s v="CUST_5"/>
    <n v="43"/>
    <n v="59"/>
    <n v="2537"/>
    <x v="2"/>
    <s v="Credit Card"/>
    <x v="0"/>
    <m/>
    <m/>
    <m/>
  </r>
  <r>
    <s v="CUST_6"/>
    <n v="8"/>
    <n v="110"/>
    <n v="880"/>
    <x v="0"/>
    <s v="Credit Card"/>
    <x v="0"/>
    <m/>
    <m/>
    <m/>
  </r>
  <r>
    <s v="CUST_7"/>
    <n v="21"/>
    <n v="91"/>
    <n v="1911"/>
    <x v="2"/>
    <s v="Bank Transfer"/>
    <x v="0"/>
    <m/>
    <m/>
    <m/>
  </r>
  <r>
    <s v="CUST_8"/>
    <n v="39"/>
    <n v="72"/>
    <n v="2808"/>
    <x v="0"/>
    <s v="Electronic"/>
    <x v="0"/>
    <m/>
    <m/>
    <m/>
  </r>
  <r>
    <s v="CUST_9"/>
    <n v="58"/>
    <n v="79"/>
    <n v="4582"/>
    <x v="0"/>
    <s v="Electronic"/>
    <x v="0"/>
    <m/>
    <m/>
    <m/>
  </r>
  <r>
    <s v="CUST_10"/>
    <n v="19"/>
    <n v="78"/>
    <n v="1482"/>
    <x v="0"/>
    <s v="Electronic"/>
    <x v="0"/>
    <m/>
    <m/>
    <m/>
  </r>
  <r>
    <s v="CUST_11"/>
    <n v="23"/>
    <n v="40"/>
    <n v="920"/>
    <x v="1"/>
    <s v="Bank Transfer"/>
    <x v="0"/>
    <m/>
    <m/>
    <m/>
  </r>
  <r>
    <s v="CUST_12"/>
    <n v="11"/>
    <n v="50"/>
    <n v="550"/>
    <x v="1"/>
    <s v="Bank Transfer"/>
    <x v="1"/>
    <m/>
    <m/>
    <m/>
  </r>
  <r>
    <s v="CUST_13"/>
    <n v="11"/>
    <n v="96"/>
    <n v="1056"/>
    <x v="1"/>
    <s v="Credit Card"/>
    <x v="1"/>
    <m/>
    <m/>
    <m/>
  </r>
  <r>
    <s v="CUST_14"/>
    <n v="24"/>
    <n v="89"/>
    <n v="2136"/>
    <x v="0"/>
    <s v="Credit Card"/>
    <x v="0"/>
    <m/>
    <m/>
    <m/>
  </r>
  <r>
    <s v="CUST_15"/>
    <n v="53"/>
    <n v="62"/>
    <n v="3286"/>
    <x v="1"/>
    <s v="Credit Card"/>
    <x v="0"/>
    <m/>
    <m/>
    <m/>
  </r>
  <r>
    <s v="CUST_16"/>
    <n v="36"/>
    <n v="70"/>
    <n v="2520"/>
    <x v="2"/>
    <s v="Electronic"/>
    <x v="0"/>
    <m/>
    <m/>
    <m/>
  </r>
  <r>
    <s v="CUST_17"/>
    <n v="40"/>
    <n v="81"/>
    <n v="3240"/>
    <x v="1"/>
    <s v="Electronic"/>
    <x v="0"/>
    <m/>
    <m/>
    <m/>
  </r>
  <r>
    <s v="CUST_18"/>
    <n v="24"/>
    <n v="46"/>
    <n v="1104"/>
    <x v="2"/>
    <s v="Credit Card"/>
    <x v="0"/>
    <m/>
    <m/>
    <m/>
  </r>
  <r>
    <s v="CUST_19"/>
    <n v="3"/>
    <n v="55"/>
    <n v="165"/>
    <x v="0"/>
    <s v="Electronic"/>
    <x v="0"/>
    <m/>
    <m/>
    <m/>
  </r>
  <r>
    <s v="CUST_20"/>
    <n v="22"/>
    <n v="99"/>
    <n v="2178"/>
    <x v="0"/>
    <s v="Credit Card"/>
    <x v="0"/>
    <m/>
    <m/>
    <m/>
  </r>
  <r>
    <s v="CUST_21"/>
    <n v="53"/>
    <n v="41"/>
    <n v="2173"/>
    <x v="1"/>
    <s v="Bank Transfer"/>
    <x v="0"/>
    <m/>
    <m/>
    <m/>
  </r>
  <r>
    <s v="CUST_22"/>
    <n v="2"/>
    <n v="40"/>
    <n v="80"/>
    <x v="0"/>
    <s v="Credit Card"/>
    <x v="0"/>
    <m/>
    <m/>
    <m/>
  </r>
  <r>
    <s v="CUST_23"/>
    <n v="24"/>
    <n v="87"/>
    <n v="2088"/>
    <x v="2"/>
    <s v="Bank Transfer"/>
    <x v="0"/>
    <m/>
    <m/>
    <m/>
  </r>
  <r>
    <s v="CUST_24"/>
    <n v="44"/>
    <n v="51"/>
    <n v="2244"/>
    <x v="1"/>
    <s v="Electronic"/>
    <x v="0"/>
    <m/>
    <m/>
    <m/>
  </r>
  <r>
    <s v="CUST_25"/>
    <n v="30"/>
    <n v="108"/>
    <n v="3240"/>
    <x v="2"/>
    <s v="Credit Card"/>
    <x v="0"/>
    <m/>
    <m/>
    <m/>
  </r>
  <r>
    <s v="CUST_26"/>
    <n v="38"/>
    <n v="76"/>
    <n v="2888"/>
    <x v="1"/>
    <s v="Electronic"/>
    <x v="0"/>
    <m/>
    <m/>
    <m/>
  </r>
  <r>
    <s v="CUST_27"/>
    <n v="2"/>
    <n v="71"/>
    <n v="142"/>
    <x v="1"/>
    <s v="Bank Transfer"/>
    <x v="1"/>
    <m/>
    <m/>
    <m/>
  </r>
  <r>
    <s v="CUST_28"/>
    <n v="21"/>
    <n v="48"/>
    <n v="1008"/>
    <x v="2"/>
    <s v="Bank Transfer"/>
    <x v="0"/>
    <m/>
    <m/>
    <m/>
  </r>
  <r>
    <s v="CUST_29"/>
    <n v="33"/>
    <n v="58"/>
    <n v="1914"/>
    <x v="1"/>
    <s v="Bank Transfer"/>
    <x v="0"/>
    <m/>
    <m/>
    <m/>
  </r>
  <r>
    <s v="CUST_30"/>
    <n v="12"/>
    <n v="87"/>
    <n v="1044"/>
    <x v="1"/>
    <s v="Electronic"/>
    <x v="0"/>
    <m/>
    <m/>
    <m/>
  </r>
  <r>
    <s v="CUST_31"/>
    <n v="58"/>
    <n v="119"/>
    <n v="6902"/>
    <x v="1"/>
    <s v="Electronic"/>
    <x v="0"/>
    <m/>
    <m/>
    <m/>
  </r>
  <r>
    <s v="CUST_32"/>
    <n v="22"/>
    <n v="42"/>
    <n v="924"/>
    <x v="1"/>
    <s v="Electronic"/>
    <x v="0"/>
    <m/>
    <m/>
    <m/>
  </r>
  <r>
    <s v="CUST_33"/>
    <n v="44"/>
    <n v="59"/>
    <n v="2596"/>
    <x v="1"/>
    <s v="Electronic"/>
    <x v="0"/>
    <m/>
    <m/>
    <m/>
  </r>
  <r>
    <s v="CUST_34"/>
    <n v="25"/>
    <n v="63"/>
    <n v="1575"/>
    <x v="2"/>
    <s v="Bank Transfer"/>
    <x v="0"/>
    <m/>
    <m/>
    <m/>
  </r>
  <r>
    <s v="CUST_35"/>
    <n v="49"/>
    <n v="93"/>
    <n v="4557"/>
    <x v="2"/>
    <s v="Bank Transfer"/>
    <x v="0"/>
    <m/>
    <m/>
    <m/>
  </r>
  <r>
    <s v="CUST_36"/>
    <n v="27"/>
    <n v="72"/>
    <n v="1944"/>
    <x v="2"/>
    <s v="Credit Card"/>
    <x v="0"/>
    <m/>
    <m/>
    <m/>
  </r>
  <r>
    <s v="CUST_37"/>
    <n v="59"/>
    <n v="63"/>
    <n v="3717"/>
    <x v="0"/>
    <s v="Credit Card"/>
    <x v="0"/>
    <m/>
    <m/>
    <m/>
  </r>
  <r>
    <s v="CUST_38"/>
    <n v="42"/>
    <n v="114"/>
    <n v="4788"/>
    <x v="2"/>
    <s v="Electronic"/>
    <x v="0"/>
    <m/>
    <m/>
    <m/>
  </r>
  <r>
    <s v="CUST_39"/>
    <n v="28"/>
    <n v="111"/>
    <n v="3108"/>
    <x v="2"/>
    <s v="Bank Transfer"/>
    <x v="0"/>
    <m/>
    <m/>
    <m/>
  </r>
  <r>
    <s v="CUST_40"/>
    <n v="16"/>
    <n v="75"/>
    <n v="1200"/>
    <x v="1"/>
    <s v="Bank Transfer"/>
    <x v="0"/>
    <m/>
    <m/>
    <m/>
  </r>
  <r>
    <s v="CUST_41"/>
    <n v="15"/>
    <n v="77"/>
    <n v="1155"/>
    <x v="1"/>
    <s v="Bank Transfer"/>
    <x v="0"/>
    <m/>
    <m/>
    <m/>
  </r>
  <r>
    <s v="CUST_42"/>
    <n v="47"/>
    <n v="64"/>
    <n v="3008"/>
    <x v="1"/>
    <s v="Credit Card"/>
    <x v="0"/>
    <m/>
    <m/>
    <m/>
  </r>
  <r>
    <s v="CUST_43"/>
    <n v="51"/>
    <n v="57"/>
    <n v="2907"/>
    <x v="1"/>
    <s v="Credit Card"/>
    <x v="0"/>
    <m/>
    <m/>
    <m/>
  </r>
  <r>
    <s v="CUST_44"/>
    <n v="44"/>
    <n v="105"/>
    <n v="4620"/>
    <x v="2"/>
    <s v="Bank Transfer"/>
    <x v="0"/>
    <m/>
    <m/>
    <m/>
  </r>
  <r>
    <s v="CUST_45"/>
    <n v="55"/>
    <n v="93"/>
    <n v="5115"/>
    <x v="1"/>
    <s v="Bank Transfer"/>
    <x v="0"/>
    <m/>
    <m/>
    <m/>
  </r>
  <r>
    <s v="CUST_46"/>
    <n v="52"/>
    <n v="74"/>
    <n v="3848"/>
    <x v="0"/>
    <s v="Bank Transfer"/>
    <x v="0"/>
    <m/>
    <m/>
    <m/>
  </r>
  <r>
    <s v="CUST_47"/>
    <n v="57"/>
    <n v="119"/>
    <n v="6783"/>
    <x v="0"/>
    <s v="Credit Card"/>
    <x v="0"/>
    <m/>
    <m/>
    <m/>
  </r>
  <r>
    <s v="CUST_48"/>
    <n v="3"/>
    <n v="100"/>
    <n v="300"/>
    <x v="2"/>
    <s v="Bank Transfer"/>
    <x v="0"/>
    <m/>
    <m/>
    <m/>
  </r>
  <r>
    <s v="CUST_49"/>
    <n v="37"/>
    <n v="80"/>
    <n v="2960"/>
    <x v="1"/>
    <s v="Bank Transfer"/>
    <x v="0"/>
    <m/>
    <m/>
    <m/>
  </r>
  <r>
    <s v="CUST_50"/>
    <n v="51"/>
    <n v="72"/>
    <n v="3672"/>
    <x v="1"/>
    <s v="Electronic"/>
    <x v="0"/>
    <m/>
    <m/>
    <m/>
  </r>
  <r>
    <s v="CUST_51"/>
    <n v="7"/>
    <n v="107"/>
    <n v="749"/>
    <x v="0"/>
    <s v="Electronic"/>
    <x v="0"/>
    <m/>
    <m/>
    <m/>
  </r>
  <r>
    <s v="CUST_52"/>
    <n v="21"/>
    <n v="72"/>
    <n v="1512"/>
    <x v="0"/>
    <s v="Credit Card"/>
    <x v="0"/>
    <m/>
    <m/>
    <m/>
  </r>
  <r>
    <s v="CUST_53"/>
    <n v="9"/>
    <n v="53"/>
    <n v="477"/>
    <x v="1"/>
    <s v="Bank Transfer"/>
    <x v="1"/>
    <m/>
    <m/>
    <m/>
  </r>
  <r>
    <s v="CUST_54"/>
    <n v="39"/>
    <n v="60"/>
    <n v="2340"/>
    <x v="2"/>
    <s v="Bank Transfer"/>
    <x v="0"/>
    <m/>
    <m/>
    <m/>
  </r>
  <r>
    <s v="CUST_55"/>
    <n v="18"/>
    <n v="87"/>
    <n v="1566"/>
    <x v="1"/>
    <s v="Electronic"/>
    <x v="0"/>
    <m/>
    <m/>
    <m/>
  </r>
  <r>
    <s v="CUST_56"/>
    <n v="4"/>
    <n v="59"/>
    <n v="236"/>
    <x v="1"/>
    <s v="Credit Card"/>
    <x v="1"/>
    <m/>
    <m/>
    <m/>
  </r>
  <r>
    <s v="CUST_57"/>
    <n v="25"/>
    <n v="47"/>
    <n v="1175"/>
    <x v="1"/>
    <s v="Electronic"/>
    <x v="0"/>
    <m/>
    <m/>
    <m/>
  </r>
  <r>
    <s v="CUST_58"/>
    <n v="14"/>
    <n v="46"/>
    <n v="644"/>
    <x v="1"/>
    <s v="Electronic"/>
    <x v="0"/>
    <m/>
    <m/>
    <m/>
  </r>
  <r>
    <s v="CUST_59"/>
    <n v="50"/>
    <n v="106"/>
    <n v="5300"/>
    <x v="0"/>
    <s v="Electronic"/>
    <x v="0"/>
    <m/>
    <m/>
    <m/>
  </r>
  <r>
    <s v="CUST_60"/>
    <n v="58"/>
    <n v="56"/>
    <n v="3248"/>
    <x v="2"/>
    <s v="Electronic"/>
    <x v="0"/>
    <m/>
    <m/>
    <m/>
  </r>
  <r>
    <s v="CUST_61"/>
    <n v="9"/>
    <n v="72"/>
    <n v="648"/>
    <x v="1"/>
    <s v="Bank Transfer"/>
    <x v="1"/>
    <m/>
    <m/>
    <m/>
  </r>
  <r>
    <s v="CUST_62"/>
    <n v="26"/>
    <n v="87"/>
    <n v="2262"/>
    <x v="2"/>
    <s v="Bank Transfer"/>
    <x v="0"/>
    <m/>
    <m/>
    <m/>
  </r>
  <r>
    <s v="CUST_63"/>
    <n v="53"/>
    <n v="115"/>
    <n v="6095"/>
    <x v="0"/>
    <s v="Electronic"/>
    <x v="0"/>
    <m/>
    <m/>
    <m/>
  </r>
  <r>
    <s v="CUST_64"/>
    <n v="2"/>
    <n v="98"/>
    <n v="196"/>
    <x v="0"/>
    <s v="Credit Card"/>
    <x v="0"/>
    <m/>
    <m/>
    <m/>
  </r>
  <r>
    <s v="CUST_65"/>
    <n v="20"/>
    <n v="61"/>
    <n v="1220"/>
    <x v="1"/>
    <s v="Credit Card"/>
    <x v="0"/>
    <m/>
    <m/>
    <m/>
  </r>
  <r>
    <s v="CUST_66"/>
    <n v="28"/>
    <n v="69"/>
    <n v="1932"/>
    <x v="1"/>
    <s v="Credit Card"/>
    <x v="0"/>
    <m/>
    <m/>
    <m/>
  </r>
  <r>
    <s v="CUST_67"/>
    <n v="47"/>
    <n v="77"/>
    <n v="3619"/>
    <x v="1"/>
    <s v="Credit Card"/>
    <x v="0"/>
    <m/>
    <m/>
    <m/>
  </r>
  <r>
    <s v="CUST_68"/>
    <n v="7"/>
    <n v="90"/>
    <n v="630"/>
    <x v="1"/>
    <s v="Electronic"/>
    <x v="1"/>
    <m/>
    <m/>
    <m/>
  </r>
  <r>
    <s v="CUST_69"/>
    <n v="44"/>
    <n v="93"/>
    <n v="4092"/>
    <x v="1"/>
    <s v="Bank Transfer"/>
    <x v="0"/>
    <m/>
    <m/>
    <m/>
  </r>
  <r>
    <s v="CUST_70"/>
    <n v="8"/>
    <n v="47"/>
    <n v="376"/>
    <x v="2"/>
    <s v="Credit Card"/>
    <x v="0"/>
    <m/>
    <m/>
    <m/>
  </r>
  <r>
    <s v="CUST_71"/>
    <n v="47"/>
    <n v="66"/>
    <n v="3102"/>
    <x v="1"/>
    <s v="Electronic"/>
    <x v="0"/>
    <m/>
    <m/>
    <m/>
  </r>
  <r>
    <s v="CUST_72"/>
    <n v="35"/>
    <n v="66"/>
    <n v="2310"/>
    <x v="1"/>
    <s v="Credit Card"/>
    <x v="0"/>
    <m/>
    <m/>
    <m/>
  </r>
  <r>
    <s v="CUST_73"/>
    <n v="14"/>
    <n v="60"/>
    <n v="840"/>
    <x v="1"/>
    <s v="Credit Card"/>
    <x v="0"/>
    <m/>
    <m/>
    <m/>
  </r>
  <r>
    <s v="CUST_74"/>
    <n v="17"/>
    <n v="69"/>
    <n v="1173"/>
    <x v="1"/>
    <s v="Electronic"/>
    <x v="0"/>
    <m/>
    <m/>
    <m/>
  </r>
  <r>
    <s v="CUST_75"/>
    <n v="36"/>
    <n v="67"/>
    <n v="2412"/>
    <x v="1"/>
    <s v="Bank Transfer"/>
    <x v="0"/>
    <m/>
    <m/>
    <m/>
  </r>
  <r>
    <s v="CUST_76"/>
    <n v="50"/>
    <n v="103"/>
    <n v="5150"/>
    <x v="1"/>
    <s v="Bank Transfer"/>
    <x v="0"/>
    <m/>
    <m/>
    <m/>
  </r>
  <r>
    <s v="CUST_77"/>
    <n v="40"/>
    <n v="108"/>
    <n v="4320"/>
    <x v="1"/>
    <s v="Electronic"/>
    <x v="0"/>
    <m/>
    <m/>
    <m/>
  </r>
  <r>
    <s v="CUST_78"/>
    <n v="4"/>
    <n v="100"/>
    <n v="400"/>
    <x v="1"/>
    <s v="Bank Transfer"/>
    <x v="1"/>
    <m/>
    <m/>
    <m/>
  </r>
  <r>
    <s v="CUST_79"/>
    <n v="2"/>
    <n v="87"/>
    <n v="174"/>
    <x v="1"/>
    <s v="Electronic"/>
    <x v="1"/>
    <m/>
    <m/>
    <m/>
  </r>
  <r>
    <s v="CUST_80"/>
    <n v="6"/>
    <n v="58"/>
    <n v="348"/>
    <x v="2"/>
    <s v="Electronic"/>
    <x v="0"/>
    <m/>
    <m/>
    <m/>
  </r>
  <r>
    <s v="CUST_81"/>
    <n v="54"/>
    <n v="43"/>
    <n v="2322"/>
    <x v="1"/>
    <s v="Electronic"/>
    <x v="0"/>
    <m/>
    <m/>
    <m/>
  </r>
  <r>
    <s v="CUST_82"/>
    <n v="42"/>
    <n v="74"/>
    <n v="3108"/>
    <x v="1"/>
    <s v="Bank Transfer"/>
    <x v="0"/>
    <m/>
    <m/>
    <m/>
  </r>
  <r>
    <s v="CUST_83"/>
    <n v="4"/>
    <n v="103"/>
    <n v="412"/>
    <x v="1"/>
    <s v="Electronic"/>
    <x v="1"/>
    <m/>
    <m/>
    <m/>
  </r>
  <r>
    <s v="CUST_84"/>
    <n v="54"/>
    <n v="88"/>
    <n v="4752"/>
    <x v="0"/>
    <s v="Credit Card"/>
    <x v="0"/>
    <m/>
    <m/>
    <m/>
  </r>
  <r>
    <s v="CUST_85"/>
    <n v="29"/>
    <n v="56"/>
    <n v="1624"/>
    <x v="1"/>
    <s v="Bank Transfer"/>
    <x v="0"/>
    <m/>
    <m/>
    <m/>
  </r>
  <r>
    <s v="CUST_86"/>
    <n v="18"/>
    <n v="83"/>
    <n v="1494"/>
    <x v="2"/>
    <s v="Bank Transfer"/>
    <x v="0"/>
    <m/>
    <m/>
    <m/>
  </r>
  <r>
    <s v="CUST_87"/>
    <n v="26"/>
    <n v="69"/>
    <n v="1794"/>
    <x v="0"/>
    <s v="Bank Transfer"/>
    <x v="0"/>
    <m/>
    <m/>
    <m/>
  </r>
  <r>
    <s v="CUST_88"/>
    <n v="44"/>
    <n v="85"/>
    <n v="3740"/>
    <x v="1"/>
    <s v="Bank Transfer"/>
    <x v="0"/>
    <m/>
    <m/>
    <m/>
  </r>
  <r>
    <s v="CUST_89"/>
    <n v="34"/>
    <n v="45"/>
    <n v="1530"/>
    <x v="0"/>
    <s v="Credit Card"/>
    <x v="0"/>
    <m/>
    <m/>
    <m/>
  </r>
  <r>
    <s v="CUST_90"/>
    <n v="10"/>
    <n v="76"/>
    <n v="760"/>
    <x v="2"/>
    <s v="Bank Transfer"/>
    <x v="0"/>
    <m/>
    <m/>
    <m/>
  </r>
  <r>
    <s v="CUST_91"/>
    <n v="36"/>
    <n v="63"/>
    <n v="2268"/>
    <x v="1"/>
    <s v="Bank Transfer"/>
    <x v="0"/>
    <m/>
    <m/>
    <m/>
  </r>
  <r>
    <s v="CUST_92"/>
    <n v="14"/>
    <n v="85"/>
    <n v="1190"/>
    <x v="1"/>
    <s v="Electronic"/>
    <x v="0"/>
    <m/>
    <m/>
    <m/>
  </r>
  <r>
    <s v="CUST_93"/>
    <n v="31"/>
    <n v="92"/>
    <n v="2852"/>
    <x v="2"/>
    <s v="Bank Transfer"/>
    <x v="0"/>
    <m/>
    <m/>
    <m/>
  </r>
  <r>
    <s v="CUST_94"/>
    <n v="48"/>
    <n v="99"/>
    <n v="4752"/>
    <x v="1"/>
    <s v="Credit Card"/>
    <x v="0"/>
    <m/>
    <m/>
    <m/>
  </r>
  <r>
    <s v="CUST_95"/>
    <n v="15"/>
    <n v="102"/>
    <n v="1530"/>
    <x v="0"/>
    <s v="Credit Card"/>
    <x v="0"/>
    <m/>
    <m/>
    <m/>
  </r>
  <r>
    <s v="CUST_96"/>
    <n v="8"/>
    <n v="71"/>
    <n v="568"/>
    <x v="1"/>
    <s v="Credit Card"/>
    <x v="1"/>
    <m/>
    <m/>
    <m/>
  </r>
  <r>
    <s v="CUST_97"/>
    <n v="14"/>
    <n v="72"/>
    <n v="1008"/>
    <x v="2"/>
    <s v="Credit Card"/>
    <x v="0"/>
    <m/>
    <m/>
    <m/>
  </r>
  <r>
    <s v="CUST_98"/>
    <n v="23"/>
    <n v="106"/>
    <n v="2438"/>
    <x v="1"/>
    <s v="Bank Transfer"/>
    <x v="0"/>
    <m/>
    <m/>
    <m/>
  </r>
  <r>
    <s v="CUST_99"/>
    <n v="57"/>
    <n v="57"/>
    <n v="3249"/>
    <x v="0"/>
    <s v="Bank Transfer"/>
    <x v="0"/>
    <m/>
    <m/>
    <m/>
  </r>
  <r>
    <s v="CUST_100"/>
    <n v="40"/>
    <n v="64"/>
    <n v="2560"/>
    <x v="2"/>
    <s v="Credit Card"/>
    <x v="0"/>
    <m/>
    <m/>
    <m/>
  </r>
  <r>
    <s v="CUST_101"/>
    <n v="21"/>
    <n v="93"/>
    <n v="1953"/>
    <x v="1"/>
    <s v="Credit Card"/>
    <x v="0"/>
    <m/>
    <m/>
    <m/>
  </r>
  <r>
    <s v="CUST_102"/>
    <n v="16"/>
    <n v="97"/>
    <n v="1552"/>
    <x v="1"/>
    <s v="Bank Transfer"/>
    <x v="0"/>
    <m/>
    <m/>
    <m/>
  </r>
  <r>
    <s v="CUST_103"/>
    <n v="45"/>
    <n v="106"/>
    <n v="4770"/>
    <x v="1"/>
    <s v="Credit Card"/>
    <x v="0"/>
    <m/>
    <m/>
    <m/>
  </r>
  <r>
    <s v="CUST_104"/>
    <n v="18"/>
    <n v="85"/>
    <n v="1530"/>
    <x v="1"/>
    <s v="Electronic"/>
    <x v="0"/>
    <m/>
    <m/>
    <m/>
  </r>
  <r>
    <s v="CUST_105"/>
    <n v="47"/>
    <n v="63"/>
    <n v="2961"/>
    <x v="1"/>
    <s v="Credit Card"/>
    <x v="0"/>
    <m/>
    <m/>
    <m/>
  </r>
  <r>
    <s v="CUST_106"/>
    <n v="53"/>
    <n v="71"/>
    <n v="3763"/>
    <x v="2"/>
    <s v="Credit Card"/>
    <x v="0"/>
    <m/>
    <m/>
    <m/>
  </r>
  <r>
    <s v="CUST_107"/>
    <n v="24"/>
    <n v="86"/>
    <n v="2064"/>
    <x v="2"/>
    <s v="Electronic"/>
    <x v="0"/>
    <m/>
    <m/>
    <m/>
  </r>
  <r>
    <s v="CUST_108"/>
    <n v="26"/>
    <n v="62"/>
    <n v="1612"/>
    <x v="2"/>
    <s v="Electronic"/>
    <x v="0"/>
    <m/>
    <m/>
    <m/>
  </r>
  <r>
    <s v="CUST_109"/>
    <n v="25"/>
    <n v="105"/>
    <n v="2625"/>
    <x v="0"/>
    <s v="Bank Transfer"/>
    <x v="0"/>
    <m/>
    <m/>
    <m/>
  </r>
  <r>
    <s v="CUST_110"/>
    <n v="45"/>
    <n v="66"/>
    <n v="2970"/>
    <x v="2"/>
    <s v="Bank Transfer"/>
    <x v="0"/>
    <m/>
    <m/>
    <m/>
  </r>
  <r>
    <s v="CUST_111"/>
    <n v="41"/>
    <n v="41"/>
    <n v="1681"/>
    <x v="2"/>
    <s v="Electronic"/>
    <x v="0"/>
    <m/>
    <m/>
    <m/>
  </r>
  <r>
    <s v="CUST_112"/>
    <n v="29"/>
    <n v="56"/>
    <n v="1624"/>
    <x v="2"/>
    <s v="Electronic"/>
    <x v="0"/>
    <m/>
    <m/>
    <m/>
  </r>
  <r>
    <s v="CUST_113"/>
    <n v="15"/>
    <n v="72"/>
    <n v="1080"/>
    <x v="1"/>
    <s v="Bank Transfer"/>
    <x v="0"/>
    <m/>
    <m/>
    <m/>
  </r>
  <r>
    <s v="CUST_114"/>
    <n v="45"/>
    <n v="48"/>
    <n v="2160"/>
    <x v="1"/>
    <s v="Credit Card"/>
    <x v="0"/>
    <m/>
    <m/>
    <m/>
  </r>
  <r>
    <s v="CUST_115"/>
    <n v="1"/>
    <n v="82"/>
    <n v="82"/>
    <x v="1"/>
    <s v="Electronic"/>
    <x v="1"/>
    <m/>
    <m/>
    <m/>
  </r>
  <r>
    <s v="CUST_116"/>
    <n v="25"/>
    <n v="87"/>
    <n v="2175"/>
    <x v="1"/>
    <s v="Bank Transfer"/>
    <x v="0"/>
    <m/>
    <m/>
    <m/>
  </r>
  <r>
    <s v="CUST_117"/>
    <n v="7"/>
    <n v="78"/>
    <n v="546"/>
    <x v="1"/>
    <s v="Credit Card"/>
    <x v="1"/>
    <m/>
    <m/>
    <m/>
  </r>
  <r>
    <s v="CUST_118"/>
    <n v="9"/>
    <n v="81"/>
    <n v="729"/>
    <x v="1"/>
    <s v="Electronic"/>
    <x v="1"/>
    <m/>
    <m/>
    <m/>
  </r>
  <r>
    <s v="CUST_119"/>
    <n v="24"/>
    <n v="65"/>
    <n v="1560"/>
    <x v="0"/>
    <s v="Credit Card"/>
    <x v="0"/>
    <m/>
    <m/>
    <m/>
  </r>
  <r>
    <s v="CUST_120"/>
    <n v="1"/>
    <n v="89"/>
    <n v="89"/>
    <x v="2"/>
    <s v="Bank Transfer"/>
    <x v="0"/>
    <m/>
    <m/>
    <m/>
  </r>
  <r>
    <s v="CUST_121"/>
    <n v="44"/>
    <n v="64"/>
    <n v="2816"/>
    <x v="1"/>
    <s v="Electronic"/>
    <x v="0"/>
    <m/>
    <m/>
    <m/>
  </r>
  <r>
    <s v="CUST_122"/>
    <n v="8"/>
    <n v="63"/>
    <n v="504"/>
    <x v="1"/>
    <s v="Credit Card"/>
    <x v="1"/>
    <m/>
    <m/>
    <m/>
  </r>
  <r>
    <s v="CUST_123"/>
    <n v="24"/>
    <n v="52"/>
    <n v="1248"/>
    <x v="1"/>
    <s v="Electronic"/>
    <x v="0"/>
    <m/>
    <m/>
    <m/>
  </r>
  <r>
    <s v="CUST_124"/>
    <n v="11"/>
    <n v="99"/>
    <n v="1089"/>
    <x v="1"/>
    <s v="Credit Card"/>
    <x v="1"/>
    <m/>
    <m/>
    <m/>
  </r>
  <r>
    <s v="CUST_125"/>
    <n v="51"/>
    <n v="46"/>
    <n v="2346"/>
    <x v="1"/>
    <s v="Bank Transfer"/>
    <x v="0"/>
    <m/>
    <m/>
    <m/>
  </r>
  <r>
    <s v="CUST_126"/>
    <n v="17"/>
    <n v="96"/>
    <n v="1632"/>
    <x v="0"/>
    <s v="Bank Transfer"/>
    <x v="0"/>
    <m/>
    <m/>
    <m/>
  </r>
  <r>
    <s v="CUST_127"/>
    <n v="8"/>
    <n v="75"/>
    <n v="600"/>
    <x v="1"/>
    <s v="Electronic"/>
    <x v="1"/>
    <m/>
    <m/>
    <m/>
  </r>
  <r>
    <s v="CUST_128"/>
    <n v="35"/>
    <n v="84"/>
    <n v="2940"/>
    <x v="0"/>
    <s v="Credit Card"/>
    <x v="0"/>
    <m/>
    <m/>
    <m/>
  </r>
  <r>
    <s v="CUST_129"/>
    <n v="35"/>
    <n v="59"/>
    <n v="2065"/>
    <x v="0"/>
    <s v="Electronic"/>
    <x v="0"/>
    <m/>
    <m/>
    <m/>
  </r>
  <r>
    <s v="CUST_130"/>
    <n v="33"/>
    <n v="104"/>
    <n v="3432"/>
    <x v="1"/>
    <s v="Electronic"/>
    <x v="0"/>
    <m/>
    <m/>
    <m/>
  </r>
  <r>
    <s v="CUST_131"/>
    <n v="59"/>
    <n v="47"/>
    <n v="2773"/>
    <x v="2"/>
    <s v="Credit Card"/>
    <x v="0"/>
    <m/>
    <m/>
    <m/>
  </r>
  <r>
    <s v="CUST_132"/>
    <n v="5"/>
    <n v="55"/>
    <n v="275"/>
    <x v="2"/>
    <s v="Credit Card"/>
    <x v="0"/>
    <m/>
    <m/>
    <m/>
  </r>
  <r>
    <s v="CUST_133"/>
    <n v="42"/>
    <n v="53"/>
    <n v="2226"/>
    <x v="1"/>
    <s v="Credit Card"/>
    <x v="0"/>
    <m/>
    <m/>
    <m/>
  </r>
  <r>
    <s v="CUST_134"/>
    <n v="39"/>
    <n v="115"/>
    <n v="4485"/>
    <x v="1"/>
    <s v="Bank Transfer"/>
    <x v="0"/>
    <m/>
    <m/>
    <m/>
  </r>
  <r>
    <s v="CUST_135"/>
    <n v="58"/>
    <n v="54"/>
    <n v="3132"/>
    <x v="2"/>
    <s v="Electronic"/>
    <x v="0"/>
    <m/>
    <m/>
    <m/>
  </r>
  <r>
    <s v="CUST_136"/>
    <n v="41"/>
    <n v="105"/>
    <n v="4305"/>
    <x v="2"/>
    <s v="Electronic"/>
    <x v="0"/>
    <m/>
    <m/>
    <m/>
  </r>
  <r>
    <s v="CUST_137"/>
    <n v="28"/>
    <n v="71"/>
    <n v="1988"/>
    <x v="0"/>
    <s v="Bank Transfer"/>
    <x v="0"/>
    <m/>
    <m/>
    <m/>
  </r>
  <r>
    <s v="CUST_138"/>
    <n v="7"/>
    <n v="102"/>
    <n v="714"/>
    <x v="0"/>
    <s v="Credit Card"/>
    <x v="0"/>
    <m/>
    <m/>
    <m/>
  </r>
  <r>
    <s v="CUST_139"/>
    <n v="9"/>
    <n v="90"/>
    <n v="810"/>
    <x v="2"/>
    <s v="Bank Transfer"/>
    <x v="0"/>
    <m/>
    <m/>
    <m/>
  </r>
  <r>
    <s v="CUST_140"/>
    <n v="8"/>
    <n v="64"/>
    <n v="512"/>
    <x v="0"/>
    <s v="Bank Transfer"/>
    <x v="0"/>
    <m/>
    <m/>
    <m/>
  </r>
  <r>
    <s v="CUST_141"/>
    <n v="12"/>
    <n v="97"/>
    <n v="1164"/>
    <x v="2"/>
    <s v="Bank Transfer"/>
    <x v="0"/>
    <m/>
    <m/>
    <m/>
  </r>
  <r>
    <s v="CUST_142"/>
    <n v="34"/>
    <n v="102"/>
    <n v="3468"/>
    <x v="2"/>
    <s v="Electronic"/>
    <x v="0"/>
    <m/>
    <m/>
    <m/>
  </r>
  <r>
    <s v="CUST_143"/>
    <n v="33"/>
    <n v="101"/>
    <n v="3333"/>
    <x v="2"/>
    <s v="Bank Transfer"/>
    <x v="0"/>
    <m/>
    <m/>
    <m/>
  </r>
  <r>
    <s v="CUST_144"/>
    <n v="48"/>
    <n v="61"/>
    <n v="2928"/>
    <x v="1"/>
    <s v="Electronic"/>
    <x v="0"/>
    <m/>
    <m/>
    <m/>
  </r>
  <r>
    <s v="CUST_145"/>
    <n v="55"/>
    <n v="97"/>
    <n v="5335"/>
    <x v="2"/>
    <s v="Electronic"/>
    <x v="0"/>
    <m/>
    <m/>
    <m/>
  </r>
  <r>
    <s v="CUST_146"/>
    <n v="23"/>
    <n v="97"/>
    <n v="2231"/>
    <x v="2"/>
    <s v="Electronic"/>
    <x v="0"/>
    <m/>
    <m/>
    <m/>
  </r>
  <r>
    <s v="CUST_147"/>
    <n v="24"/>
    <n v="88"/>
    <n v="2112"/>
    <x v="1"/>
    <s v="Credit Card"/>
    <x v="0"/>
    <m/>
    <m/>
    <m/>
  </r>
  <r>
    <s v="CUST_148"/>
    <n v="37"/>
    <n v="91"/>
    <n v="3367"/>
    <x v="0"/>
    <s v="Electronic"/>
    <x v="0"/>
    <m/>
    <m/>
    <m/>
  </r>
  <r>
    <s v="CUST_149"/>
    <n v="35"/>
    <n v="81"/>
    <n v="2835"/>
    <x v="1"/>
    <s v="Electronic"/>
    <x v="0"/>
    <m/>
    <m/>
    <m/>
  </r>
  <r>
    <s v="CUST_150"/>
    <n v="44"/>
    <n v="109"/>
    <n v="4796"/>
    <x v="2"/>
    <s v="Credit Card"/>
    <x v="0"/>
    <m/>
    <m/>
    <m/>
  </r>
  <r>
    <s v="CUST_151"/>
    <n v="40"/>
    <n v="54"/>
    <n v="2160"/>
    <x v="2"/>
    <s v="Electronic"/>
    <x v="0"/>
    <m/>
    <m/>
    <m/>
  </r>
  <r>
    <s v="CUST_152"/>
    <n v="22"/>
    <n v="93"/>
    <n v="2046"/>
    <x v="2"/>
    <s v="Bank Transfer"/>
    <x v="0"/>
    <m/>
    <m/>
    <m/>
  </r>
  <r>
    <s v="CUST_153"/>
    <n v="27"/>
    <n v="99"/>
    <n v="2673"/>
    <x v="1"/>
    <s v="Bank Transfer"/>
    <x v="0"/>
    <m/>
    <m/>
    <m/>
  </r>
  <r>
    <s v="CUST_154"/>
    <n v="35"/>
    <n v="47"/>
    <n v="1645"/>
    <x v="0"/>
    <s v="Electronic"/>
    <x v="0"/>
    <m/>
    <m/>
    <m/>
  </r>
  <r>
    <s v="CUST_155"/>
    <n v="1"/>
    <n v="92"/>
    <n v="92"/>
    <x v="2"/>
    <s v="Credit Card"/>
    <x v="0"/>
    <m/>
    <m/>
    <m/>
  </r>
  <r>
    <s v="CUST_156"/>
    <n v="35"/>
    <n v="99"/>
    <n v="3465"/>
    <x v="1"/>
    <s v="Bank Transfer"/>
    <x v="0"/>
    <m/>
    <m/>
    <m/>
  </r>
  <r>
    <s v="CUST_157"/>
    <n v="37"/>
    <n v="44"/>
    <n v="1628"/>
    <x v="1"/>
    <s v="Credit Card"/>
    <x v="0"/>
    <m/>
    <m/>
    <m/>
  </r>
  <r>
    <s v="CUST_158"/>
    <n v="47"/>
    <n v="107"/>
    <n v="5029"/>
    <x v="2"/>
    <s v="Credit Card"/>
    <x v="0"/>
    <m/>
    <m/>
    <m/>
  </r>
  <r>
    <s v="CUST_159"/>
    <n v="14"/>
    <n v="45"/>
    <n v="630"/>
    <x v="1"/>
    <s v="Bank Transfer"/>
    <x v="0"/>
    <m/>
    <m/>
    <m/>
  </r>
  <r>
    <s v="CUST_160"/>
    <n v="3"/>
    <n v="86"/>
    <n v="258"/>
    <x v="1"/>
    <s v="Credit Card"/>
    <x v="1"/>
    <m/>
    <m/>
    <m/>
  </r>
  <r>
    <s v="CUST_161"/>
    <n v="1"/>
    <n v="94"/>
    <n v="94"/>
    <x v="2"/>
    <s v="Bank Transfer"/>
    <x v="0"/>
    <m/>
    <m/>
    <m/>
  </r>
  <r>
    <s v="CUST_162"/>
    <n v="5"/>
    <n v="79"/>
    <n v="395"/>
    <x v="1"/>
    <s v="Credit Card"/>
    <x v="1"/>
    <m/>
    <m/>
    <m/>
  </r>
  <r>
    <s v="CUST_163"/>
    <n v="26"/>
    <n v="91"/>
    <n v="2366"/>
    <x v="2"/>
    <s v="Bank Transfer"/>
    <x v="0"/>
    <m/>
    <m/>
    <m/>
  </r>
  <r>
    <s v="CUST_164"/>
    <n v="55"/>
    <n v="55"/>
    <n v="3025"/>
    <x v="1"/>
    <s v="Electronic"/>
    <x v="0"/>
    <m/>
    <m/>
    <m/>
  </r>
  <r>
    <s v="CUST_165"/>
    <n v="14"/>
    <n v="52"/>
    <n v="728"/>
    <x v="2"/>
    <s v="Bank Transfer"/>
    <x v="0"/>
    <m/>
    <m/>
    <m/>
  </r>
  <r>
    <s v="CUST_166"/>
    <n v="39"/>
    <n v="69"/>
    <n v="2691"/>
    <x v="1"/>
    <s v="Bank Transfer"/>
    <x v="0"/>
    <m/>
    <m/>
    <m/>
  </r>
  <r>
    <s v="CUST_167"/>
    <n v="27"/>
    <n v="58"/>
    <n v="1566"/>
    <x v="2"/>
    <s v="Bank Transfer"/>
    <x v="0"/>
    <m/>
    <m/>
    <m/>
  </r>
  <r>
    <s v="CUST_168"/>
    <n v="9"/>
    <n v="56"/>
    <n v="504"/>
    <x v="1"/>
    <s v="Bank Transfer"/>
    <x v="1"/>
    <m/>
    <m/>
    <m/>
  </r>
  <r>
    <s v="CUST_169"/>
    <n v="15"/>
    <n v="102"/>
    <n v="1530"/>
    <x v="2"/>
    <s v="Credit Card"/>
    <x v="0"/>
    <m/>
    <m/>
    <m/>
  </r>
  <r>
    <s v="CUST_170"/>
    <n v="15"/>
    <n v="58"/>
    <n v="870"/>
    <x v="1"/>
    <s v="Electronic"/>
    <x v="0"/>
    <m/>
    <m/>
    <m/>
  </r>
  <r>
    <s v="CUST_171"/>
    <n v="26"/>
    <n v="97"/>
    <n v="2522"/>
    <x v="0"/>
    <s v="Bank Transfer"/>
    <x v="0"/>
    <m/>
    <m/>
    <m/>
  </r>
  <r>
    <s v="CUST_172"/>
    <n v="42"/>
    <n v="94"/>
    <n v="3948"/>
    <x v="2"/>
    <s v="Credit Card"/>
    <x v="0"/>
    <m/>
    <m/>
    <m/>
  </r>
  <r>
    <s v="CUST_173"/>
    <n v="13"/>
    <n v="101"/>
    <n v="1313"/>
    <x v="0"/>
    <s v="Electronic"/>
    <x v="0"/>
    <m/>
    <m/>
    <m/>
  </r>
  <r>
    <s v="CUST_174"/>
    <n v="51"/>
    <n v="62"/>
    <n v="3162"/>
    <x v="2"/>
    <s v="Electronic"/>
    <x v="0"/>
    <m/>
    <m/>
    <m/>
  </r>
  <r>
    <s v="CUST_175"/>
    <n v="32"/>
    <n v="48"/>
    <n v="1536"/>
    <x v="1"/>
    <s v="Electronic"/>
    <x v="0"/>
    <m/>
    <m/>
    <m/>
  </r>
  <r>
    <s v="CUST_176"/>
    <n v="39"/>
    <n v="51"/>
    <n v="1989"/>
    <x v="0"/>
    <s v="Electronic"/>
    <x v="0"/>
    <m/>
    <m/>
    <m/>
  </r>
  <r>
    <s v="CUST_177"/>
    <n v="49"/>
    <n v="40"/>
    <n v="1960"/>
    <x v="1"/>
    <s v="Bank Transfer"/>
    <x v="0"/>
    <m/>
    <m/>
    <m/>
  </r>
  <r>
    <s v="CUST_178"/>
    <n v="52"/>
    <n v="97"/>
    <n v="5044"/>
    <x v="1"/>
    <s v="Bank Transfer"/>
    <x v="0"/>
    <m/>
    <m/>
    <m/>
  </r>
  <r>
    <s v="CUST_179"/>
    <n v="32"/>
    <n v="40"/>
    <n v="1280"/>
    <x v="1"/>
    <s v="Credit Card"/>
    <x v="0"/>
    <m/>
    <m/>
    <m/>
  </r>
  <r>
    <s v="CUST_180"/>
    <n v="4"/>
    <n v="73"/>
    <n v="292"/>
    <x v="2"/>
    <s v="Credit Card"/>
    <x v="0"/>
    <m/>
    <m/>
    <m/>
  </r>
  <r>
    <s v="CUST_181"/>
    <n v="30"/>
    <n v="87"/>
    <n v="2610"/>
    <x v="2"/>
    <s v="Credit Card"/>
    <x v="0"/>
    <m/>
    <m/>
    <m/>
  </r>
  <r>
    <s v="CUST_182"/>
    <n v="37"/>
    <n v="40"/>
    <n v="1480"/>
    <x v="1"/>
    <s v="Electronic"/>
    <x v="0"/>
    <m/>
    <m/>
    <m/>
  </r>
  <r>
    <s v="CUST_183"/>
    <n v="23"/>
    <n v="55"/>
    <n v="1265"/>
    <x v="0"/>
    <s v="Electronic"/>
    <x v="0"/>
    <m/>
    <m/>
    <m/>
  </r>
  <r>
    <s v="CUST_184"/>
    <n v="39"/>
    <n v="100"/>
    <n v="3900"/>
    <x v="1"/>
    <s v="Bank Transfer"/>
    <x v="0"/>
    <m/>
    <m/>
    <m/>
  </r>
  <r>
    <s v="CUST_185"/>
    <n v="45"/>
    <n v="103"/>
    <n v="4635"/>
    <x v="1"/>
    <s v="Electronic"/>
    <x v="0"/>
    <m/>
    <m/>
    <m/>
  </r>
  <r>
    <s v="CUST_186"/>
    <n v="15"/>
    <n v="102"/>
    <n v="1530"/>
    <x v="1"/>
    <s v="Electronic"/>
    <x v="0"/>
    <m/>
    <m/>
    <m/>
  </r>
  <r>
    <s v="CUST_187"/>
    <n v="43"/>
    <n v="108"/>
    <n v="4644"/>
    <x v="1"/>
    <s v="Electronic"/>
    <x v="0"/>
    <m/>
    <m/>
    <m/>
  </r>
  <r>
    <s v="CUST_188"/>
    <n v="29"/>
    <n v="61"/>
    <n v="1769"/>
    <x v="1"/>
    <s v="Credit Card"/>
    <x v="0"/>
    <m/>
    <m/>
    <m/>
  </r>
  <r>
    <s v="CUST_189"/>
    <n v="36"/>
    <n v="106"/>
    <n v="3816"/>
    <x v="2"/>
    <s v="Credit Card"/>
    <x v="0"/>
    <m/>
    <m/>
    <m/>
  </r>
  <r>
    <s v="CUST_190"/>
    <n v="13"/>
    <n v="115"/>
    <n v="1495"/>
    <x v="2"/>
    <s v="Bank Transfer"/>
    <x v="0"/>
    <m/>
    <m/>
    <m/>
  </r>
  <r>
    <s v="CUST_191"/>
    <n v="32"/>
    <n v="65"/>
    <n v="2080"/>
    <x v="1"/>
    <s v="Electronic"/>
    <x v="0"/>
    <m/>
    <m/>
    <m/>
  </r>
  <r>
    <s v="CUST_192"/>
    <n v="7"/>
    <n v="55"/>
    <n v="385"/>
    <x v="1"/>
    <s v="Electronic"/>
    <x v="1"/>
    <m/>
    <m/>
    <m/>
  </r>
  <r>
    <s v="CUST_193"/>
    <n v="59"/>
    <n v="90"/>
    <n v="5310"/>
    <x v="1"/>
    <s v="Bank Transfer"/>
    <x v="0"/>
    <m/>
    <m/>
    <m/>
  </r>
  <r>
    <s v="CUST_194"/>
    <n v="51"/>
    <n v="96"/>
    <n v="4896"/>
    <x v="0"/>
    <s v="Electronic"/>
    <x v="0"/>
    <m/>
    <m/>
    <m/>
  </r>
  <r>
    <s v="CUST_195"/>
    <n v="22"/>
    <n v="68"/>
    <n v="1496"/>
    <x v="1"/>
    <s v="Electronic"/>
    <x v="0"/>
    <m/>
    <m/>
    <m/>
  </r>
  <r>
    <s v="CUST_196"/>
    <n v="28"/>
    <n v="117"/>
    <n v="3276"/>
    <x v="2"/>
    <s v="Credit Card"/>
    <x v="0"/>
    <m/>
    <m/>
    <m/>
  </r>
  <r>
    <s v="CUST_197"/>
    <n v="2"/>
    <n v="108"/>
    <n v="216"/>
    <x v="0"/>
    <s v="Bank Transfer"/>
    <x v="0"/>
    <m/>
    <m/>
    <m/>
  </r>
  <r>
    <s v="CUST_198"/>
    <n v="42"/>
    <n v="86"/>
    <n v="3612"/>
    <x v="2"/>
    <s v="Bank Transfer"/>
    <x v="0"/>
    <m/>
    <m/>
    <m/>
  </r>
  <r>
    <s v="CUST_199"/>
    <n v="45"/>
    <n v="101"/>
    <n v="4545"/>
    <x v="0"/>
    <s v="Bank Transfer"/>
    <x v="0"/>
    <m/>
    <m/>
    <m/>
  </r>
  <r>
    <s v="CUST_200"/>
    <n v="57"/>
    <n v="108"/>
    <n v="6156"/>
    <x v="1"/>
    <s v="Bank Transfer"/>
    <x v="0"/>
    <m/>
    <m/>
    <m/>
  </r>
  <r>
    <s v="CUST_201"/>
    <n v="53"/>
    <n v="115"/>
    <n v="6095"/>
    <x v="2"/>
    <s v="Credit Card"/>
    <x v="0"/>
    <m/>
    <m/>
    <m/>
  </r>
  <r>
    <s v="CUST_202"/>
    <n v="6"/>
    <n v="55"/>
    <n v="330"/>
    <x v="2"/>
    <s v="Credit Card"/>
    <x v="0"/>
    <m/>
    <m/>
    <m/>
  </r>
  <r>
    <s v="CUST_203"/>
    <n v="28"/>
    <n v="87"/>
    <n v="2436"/>
    <x v="2"/>
    <s v="Electronic"/>
    <x v="0"/>
    <m/>
    <m/>
    <m/>
  </r>
  <r>
    <s v="CUST_204"/>
    <n v="28"/>
    <n v="78"/>
    <n v="2184"/>
    <x v="1"/>
    <s v="Electronic"/>
    <x v="0"/>
    <m/>
    <m/>
    <m/>
  </r>
  <r>
    <s v="CUST_205"/>
    <n v="44"/>
    <n v="72"/>
    <n v="3168"/>
    <x v="1"/>
    <s v="Electronic"/>
    <x v="0"/>
    <m/>
    <m/>
    <m/>
  </r>
  <r>
    <s v="CUST_206"/>
    <n v="44"/>
    <n v="62"/>
    <n v="2728"/>
    <x v="1"/>
    <s v="Electronic"/>
    <x v="0"/>
    <m/>
    <m/>
    <m/>
  </r>
  <r>
    <s v="CUST_207"/>
    <n v="20"/>
    <n v="49"/>
    <n v="980"/>
    <x v="2"/>
    <s v="Credit Card"/>
    <x v="0"/>
    <m/>
    <m/>
    <m/>
  </r>
  <r>
    <s v="CUST_208"/>
    <n v="30"/>
    <n v="108"/>
    <n v="3240"/>
    <x v="0"/>
    <s v="Bank Transfer"/>
    <x v="0"/>
    <m/>
    <m/>
    <m/>
  </r>
  <r>
    <s v="CUST_209"/>
    <n v="11"/>
    <n v="73"/>
    <n v="803"/>
    <x v="2"/>
    <s v="Credit Card"/>
    <x v="0"/>
    <m/>
    <m/>
    <m/>
  </r>
  <r>
    <s v="CUST_210"/>
    <n v="58"/>
    <n v="91"/>
    <n v="5278"/>
    <x v="1"/>
    <s v="Electronic"/>
    <x v="0"/>
    <m/>
    <m/>
    <m/>
  </r>
  <r>
    <s v="CUST_211"/>
    <n v="55"/>
    <n v="49"/>
    <n v="2695"/>
    <x v="0"/>
    <s v="Credit Card"/>
    <x v="0"/>
    <m/>
    <m/>
    <m/>
  </r>
  <r>
    <s v="CUST_212"/>
    <n v="28"/>
    <n v="58"/>
    <n v="1624"/>
    <x v="1"/>
    <s v="Bank Transfer"/>
    <x v="0"/>
    <m/>
    <m/>
    <m/>
  </r>
  <r>
    <s v="CUST_213"/>
    <n v="25"/>
    <n v="97"/>
    <n v="2425"/>
    <x v="1"/>
    <s v="Bank Transfer"/>
    <x v="0"/>
    <m/>
    <m/>
    <m/>
  </r>
  <r>
    <s v="CUST_214"/>
    <n v="39"/>
    <n v="40"/>
    <n v="1560"/>
    <x v="1"/>
    <s v="Credit Card"/>
    <x v="0"/>
    <m/>
    <m/>
    <m/>
  </r>
  <r>
    <s v="CUST_215"/>
    <n v="33"/>
    <n v="108"/>
    <n v="3564"/>
    <x v="2"/>
    <s v="Credit Card"/>
    <x v="0"/>
    <m/>
    <m/>
    <m/>
  </r>
  <r>
    <s v="CUST_216"/>
    <n v="1"/>
    <n v="43"/>
    <n v="43"/>
    <x v="1"/>
    <s v="Credit Card"/>
    <x v="1"/>
    <m/>
    <m/>
    <m/>
  </r>
  <r>
    <s v="CUST_217"/>
    <n v="57"/>
    <n v="55"/>
    <n v="3135"/>
    <x v="2"/>
    <s v="Electronic"/>
    <x v="0"/>
    <m/>
    <m/>
    <m/>
  </r>
  <r>
    <s v="CUST_218"/>
    <n v="27"/>
    <n v="63"/>
    <n v="1701"/>
    <x v="0"/>
    <s v="Credit Card"/>
    <x v="0"/>
    <m/>
    <m/>
    <m/>
  </r>
  <r>
    <s v="CUST_219"/>
    <n v="57"/>
    <n v="119"/>
    <n v="6783"/>
    <x v="1"/>
    <s v="Credit Card"/>
    <x v="0"/>
    <m/>
    <m/>
    <m/>
  </r>
  <r>
    <s v="CUST_220"/>
    <n v="52"/>
    <n v="41"/>
    <n v="2132"/>
    <x v="2"/>
    <s v="Credit Card"/>
    <x v="0"/>
    <m/>
    <m/>
    <m/>
  </r>
  <r>
    <s v="CUST_221"/>
    <n v="13"/>
    <n v="71"/>
    <n v="923"/>
    <x v="1"/>
    <s v="Bank Transfer"/>
    <x v="0"/>
    <m/>
    <m/>
    <m/>
  </r>
  <r>
    <s v="CUST_222"/>
    <n v="41"/>
    <n v="63"/>
    <n v="2583"/>
    <x v="1"/>
    <s v="Bank Transfer"/>
    <x v="0"/>
    <m/>
    <m/>
    <m/>
  </r>
  <r>
    <s v="CUST_223"/>
    <n v="3"/>
    <n v="51"/>
    <n v="153"/>
    <x v="1"/>
    <s v="Electronic"/>
    <x v="1"/>
    <m/>
    <m/>
    <m/>
  </r>
  <r>
    <s v="CUST_224"/>
    <n v="39"/>
    <n v="89"/>
    <n v="3471"/>
    <x v="1"/>
    <s v="Electronic"/>
    <x v="0"/>
    <m/>
    <m/>
    <m/>
  </r>
  <r>
    <s v="CUST_225"/>
    <n v="6"/>
    <n v="74"/>
    <n v="444"/>
    <x v="2"/>
    <s v="Bank Transfer"/>
    <x v="0"/>
    <m/>
    <m/>
    <m/>
  </r>
  <r>
    <s v="CUST_226"/>
    <n v="8"/>
    <n v="72"/>
    <n v="576"/>
    <x v="1"/>
    <s v="Bank Transfer"/>
    <x v="1"/>
    <m/>
    <m/>
    <m/>
  </r>
  <r>
    <s v="CUST_227"/>
    <n v="27"/>
    <n v="72"/>
    <n v="1944"/>
    <x v="2"/>
    <s v="Bank Transfer"/>
    <x v="0"/>
    <m/>
    <m/>
    <m/>
  </r>
  <r>
    <s v="CUST_228"/>
    <n v="9"/>
    <n v="100"/>
    <n v="900"/>
    <x v="2"/>
    <s v="Credit Card"/>
    <x v="0"/>
    <m/>
    <m/>
    <m/>
  </r>
  <r>
    <s v="CUST_229"/>
    <n v="37"/>
    <n v="90"/>
    <n v="3330"/>
    <x v="2"/>
    <s v="Credit Card"/>
    <x v="0"/>
    <m/>
    <m/>
    <m/>
  </r>
  <r>
    <s v="CUST_230"/>
    <n v="33"/>
    <n v="82"/>
    <n v="2706"/>
    <x v="2"/>
    <s v="Bank Transfer"/>
    <x v="0"/>
    <m/>
    <m/>
    <m/>
  </r>
  <r>
    <s v="CUST_231"/>
    <n v="51"/>
    <n v="51"/>
    <n v="2601"/>
    <x v="2"/>
    <s v="Credit Card"/>
    <x v="0"/>
    <m/>
    <m/>
    <m/>
  </r>
  <r>
    <s v="CUST_232"/>
    <n v="42"/>
    <n v="106"/>
    <n v="4452"/>
    <x v="1"/>
    <s v="Credit Card"/>
    <x v="0"/>
    <m/>
    <m/>
    <m/>
  </r>
  <r>
    <s v="CUST_233"/>
    <n v="44"/>
    <n v="104"/>
    <n v="4576"/>
    <x v="1"/>
    <s v="Electronic"/>
    <x v="0"/>
    <m/>
    <m/>
    <m/>
  </r>
  <r>
    <s v="CUST_234"/>
    <n v="24"/>
    <n v="72"/>
    <n v="1728"/>
    <x v="0"/>
    <s v="Bank Transfer"/>
    <x v="0"/>
    <m/>
    <m/>
    <m/>
  </r>
  <r>
    <s v="CUST_235"/>
    <n v="15"/>
    <n v="79"/>
    <n v="1185"/>
    <x v="2"/>
    <s v="Bank Transfer"/>
    <x v="0"/>
    <m/>
    <m/>
    <m/>
  </r>
  <r>
    <s v="CUST_236"/>
    <n v="59"/>
    <n v="113"/>
    <n v="6667"/>
    <x v="1"/>
    <s v="Credit Card"/>
    <x v="0"/>
    <m/>
    <m/>
    <m/>
  </r>
  <r>
    <s v="CUST_237"/>
    <n v="54"/>
    <n v="82"/>
    <n v="4428"/>
    <x v="1"/>
    <s v="Bank Transfer"/>
    <x v="0"/>
    <m/>
    <m/>
    <m/>
  </r>
  <r>
    <s v="CUST_238"/>
    <n v="32"/>
    <n v="83"/>
    <n v="2656"/>
    <x v="1"/>
    <s v="Electronic"/>
    <x v="0"/>
    <m/>
    <m/>
    <m/>
  </r>
  <r>
    <s v="CUST_239"/>
    <n v="32"/>
    <n v="68"/>
    <n v="2176"/>
    <x v="0"/>
    <s v="Electronic"/>
    <x v="0"/>
    <m/>
    <m/>
    <m/>
  </r>
  <r>
    <s v="CUST_240"/>
    <n v="24"/>
    <n v="52"/>
    <n v="1248"/>
    <x v="1"/>
    <s v="Electronic"/>
    <x v="0"/>
    <m/>
    <m/>
    <m/>
  </r>
  <r>
    <s v="CUST_241"/>
    <n v="41"/>
    <n v="51"/>
    <n v="2091"/>
    <x v="1"/>
    <s v="Bank Transfer"/>
    <x v="0"/>
    <m/>
    <m/>
    <m/>
  </r>
  <r>
    <s v="CUST_242"/>
    <n v="52"/>
    <n v="85"/>
    <n v="4420"/>
    <x v="1"/>
    <s v="Bank Transfer"/>
    <x v="0"/>
    <m/>
    <m/>
    <m/>
  </r>
  <r>
    <s v="CUST_243"/>
    <n v="49"/>
    <n v="41"/>
    <n v="2009"/>
    <x v="1"/>
    <s v="Bank Transfer"/>
    <x v="0"/>
    <m/>
    <m/>
    <m/>
  </r>
  <r>
    <s v="CUST_244"/>
    <n v="49"/>
    <n v="74"/>
    <n v="3626"/>
    <x v="0"/>
    <s v="Bank Transfer"/>
    <x v="0"/>
    <m/>
    <m/>
    <m/>
  </r>
  <r>
    <s v="CUST_245"/>
    <n v="58"/>
    <n v="47"/>
    <n v="2726"/>
    <x v="1"/>
    <s v="Bank Transfer"/>
    <x v="0"/>
    <m/>
    <m/>
    <m/>
  </r>
  <r>
    <s v="CUST_246"/>
    <n v="52"/>
    <n v="65"/>
    <n v="3380"/>
    <x v="0"/>
    <s v="Electronic"/>
    <x v="0"/>
    <m/>
    <m/>
    <m/>
  </r>
  <r>
    <s v="CUST_247"/>
    <n v="12"/>
    <n v="113"/>
    <n v="1356"/>
    <x v="1"/>
    <s v="Credit Card"/>
    <x v="0"/>
    <m/>
    <m/>
    <m/>
  </r>
  <r>
    <s v="CUST_248"/>
    <n v="39"/>
    <n v="73"/>
    <n v="2847"/>
    <x v="0"/>
    <s v="Electronic"/>
    <x v="0"/>
    <m/>
    <m/>
    <m/>
  </r>
  <r>
    <s v="CUST_249"/>
    <n v="2"/>
    <n v="46"/>
    <n v="92"/>
    <x v="1"/>
    <s v="Bank Transfer"/>
    <x v="1"/>
    <m/>
    <m/>
    <m/>
  </r>
  <r>
    <s v="CUST_250"/>
    <n v="3"/>
    <n v="107"/>
    <n v="321"/>
    <x v="1"/>
    <s v="Electronic"/>
    <x v="1"/>
    <m/>
    <m/>
    <m/>
  </r>
  <r>
    <s v="CUST_251"/>
    <n v="49"/>
    <n v="97"/>
    <n v="4753"/>
    <x v="2"/>
    <s v="Bank Transfer"/>
    <x v="0"/>
    <m/>
    <m/>
    <m/>
  </r>
  <r>
    <s v="CUST_252"/>
    <n v="37"/>
    <n v="114"/>
    <n v="4218"/>
    <x v="0"/>
    <s v="Bank Transfer"/>
    <x v="0"/>
    <m/>
    <m/>
    <m/>
  </r>
  <r>
    <s v="CUST_253"/>
    <n v="49"/>
    <n v="68"/>
    <n v="3332"/>
    <x v="0"/>
    <s v="Electronic"/>
    <x v="0"/>
    <m/>
    <m/>
    <m/>
  </r>
  <r>
    <s v="CUST_254"/>
    <n v="56"/>
    <n v="75"/>
    <n v="4200"/>
    <x v="2"/>
    <s v="Bank Transfer"/>
    <x v="0"/>
    <m/>
    <m/>
    <m/>
  </r>
  <r>
    <s v="CUST_255"/>
    <n v="17"/>
    <n v="60"/>
    <n v="1020"/>
    <x v="0"/>
    <s v="Credit Card"/>
    <x v="0"/>
    <m/>
    <m/>
    <m/>
  </r>
  <r>
    <s v="CUST_256"/>
    <n v="59"/>
    <n v="75"/>
    <n v="4425"/>
    <x v="1"/>
    <s v="Bank Transfer"/>
    <x v="0"/>
    <m/>
    <m/>
    <m/>
  </r>
  <r>
    <s v="CUST_257"/>
    <n v="49"/>
    <n v="49"/>
    <n v="2401"/>
    <x v="0"/>
    <s v="Credit Card"/>
    <x v="0"/>
    <m/>
    <m/>
    <m/>
  </r>
  <r>
    <s v="CUST_258"/>
    <n v="2"/>
    <n v="112"/>
    <n v="224"/>
    <x v="1"/>
    <s v="Credit Card"/>
    <x v="1"/>
    <m/>
    <m/>
    <m/>
  </r>
  <r>
    <s v="CUST_259"/>
    <n v="2"/>
    <n v="63"/>
    <n v="126"/>
    <x v="2"/>
    <s v="Bank Transfer"/>
    <x v="0"/>
    <m/>
    <m/>
    <m/>
  </r>
  <r>
    <s v="CUST_260"/>
    <n v="28"/>
    <n v="103"/>
    <n v="2884"/>
    <x v="0"/>
    <s v="Electronic"/>
    <x v="0"/>
    <m/>
    <m/>
    <m/>
  </r>
  <r>
    <s v="CUST_261"/>
    <n v="54"/>
    <n v="88"/>
    <n v="4752"/>
    <x v="2"/>
    <s v="Credit Card"/>
    <x v="0"/>
    <m/>
    <m/>
    <m/>
  </r>
  <r>
    <s v="CUST_262"/>
    <n v="23"/>
    <n v="75"/>
    <n v="1725"/>
    <x v="2"/>
    <s v="Electronic"/>
    <x v="0"/>
    <m/>
    <m/>
    <m/>
  </r>
  <r>
    <s v="CUST_263"/>
    <n v="37"/>
    <n v="63"/>
    <n v="2331"/>
    <x v="1"/>
    <s v="Credit Card"/>
    <x v="0"/>
    <m/>
    <m/>
    <m/>
  </r>
  <r>
    <s v="CUST_264"/>
    <n v="32"/>
    <n v="62"/>
    <n v="1984"/>
    <x v="0"/>
    <s v="Bank Transfer"/>
    <x v="0"/>
    <m/>
    <m/>
    <m/>
  </r>
  <r>
    <s v="CUST_265"/>
    <n v="33"/>
    <n v="101"/>
    <n v="3333"/>
    <x v="1"/>
    <s v="Bank Transfer"/>
    <x v="0"/>
    <m/>
    <m/>
    <m/>
  </r>
  <r>
    <s v="CUST_266"/>
    <n v="1"/>
    <n v="76"/>
    <n v="76"/>
    <x v="0"/>
    <s v="Credit Card"/>
    <x v="0"/>
    <m/>
    <m/>
    <m/>
  </r>
  <r>
    <s v="CUST_267"/>
    <n v="19"/>
    <n v="51"/>
    <n v="969"/>
    <x v="2"/>
    <s v="Bank Transfer"/>
    <x v="0"/>
    <m/>
    <m/>
    <m/>
  </r>
  <r>
    <s v="CUST_268"/>
    <n v="2"/>
    <n v="94"/>
    <n v="188"/>
    <x v="1"/>
    <s v="Credit Card"/>
    <x v="1"/>
    <m/>
    <m/>
    <m/>
  </r>
  <r>
    <s v="CUST_269"/>
    <n v="53"/>
    <n v="52"/>
    <n v="2756"/>
    <x v="2"/>
    <s v="Bank Transfer"/>
    <x v="0"/>
    <m/>
    <m/>
    <m/>
  </r>
  <r>
    <s v="CUST_270"/>
    <n v="44"/>
    <n v="62"/>
    <n v="2728"/>
    <x v="2"/>
    <s v="Electronic"/>
    <x v="0"/>
    <m/>
    <m/>
    <m/>
  </r>
  <r>
    <s v="CUST_271"/>
    <n v="26"/>
    <n v="69"/>
    <n v="1794"/>
    <x v="2"/>
    <s v="Bank Transfer"/>
    <x v="0"/>
    <m/>
    <m/>
    <m/>
  </r>
  <r>
    <s v="CUST_272"/>
    <n v="32"/>
    <n v="56"/>
    <n v="1792"/>
    <x v="2"/>
    <s v="Electronic"/>
    <x v="0"/>
    <m/>
    <m/>
    <m/>
  </r>
  <r>
    <s v="CUST_273"/>
    <n v="6"/>
    <n v="101"/>
    <n v="606"/>
    <x v="1"/>
    <s v="Bank Transfer"/>
    <x v="1"/>
    <m/>
    <m/>
    <m/>
  </r>
  <r>
    <s v="CUST_274"/>
    <n v="32"/>
    <n v="52"/>
    <n v="1664"/>
    <x v="2"/>
    <s v="Electronic"/>
    <x v="0"/>
    <m/>
    <m/>
    <m/>
  </r>
  <r>
    <s v="CUST_275"/>
    <n v="55"/>
    <n v="98"/>
    <n v="5390"/>
    <x v="0"/>
    <s v="Bank Transfer"/>
    <x v="0"/>
    <m/>
    <m/>
    <m/>
  </r>
  <r>
    <s v="CUST_276"/>
    <n v="4"/>
    <n v="58"/>
    <n v="232"/>
    <x v="1"/>
    <s v="Electronic"/>
    <x v="1"/>
    <m/>
    <m/>
    <m/>
  </r>
  <r>
    <s v="CUST_277"/>
    <n v="55"/>
    <n v="88"/>
    <n v="4840"/>
    <x v="2"/>
    <s v="Credit Card"/>
    <x v="0"/>
    <m/>
    <m/>
    <m/>
  </r>
  <r>
    <s v="CUST_278"/>
    <n v="11"/>
    <n v="51"/>
    <n v="561"/>
    <x v="1"/>
    <s v="Credit Card"/>
    <x v="1"/>
    <m/>
    <m/>
    <m/>
  </r>
  <r>
    <s v="CUST_279"/>
    <n v="56"/>
    <n v="100"/>
    <n v="5600"/>
    <x v="1"/>
    <s v="Electronic"/>
    <x v="0"/>
    <m/>
    <m/>
    <m/>
  </r>
  <r>
    <s v="CUST_280"/>
    <n v="59"/>
    <n v="58"/>
    <n v="3422"/>
    <x v="2"/>
    <s v="Bank Transfer"/>
    <x v="0"/>
    <m/>
    <m/>
    <m/>
  </r>
  <r>
    <s v="CUST_281"/>
    <n v="17"/>
    <n v="115"/>
    <n v="1955"/>
    <x v="2"/>
    <s v="Electronic"/>
    <x v="0"/>
    <m/>
    <m/>
    <m/>
  </r>
  <r>
    <s v="CUST_282"/>
    <n v="38"/>
    <n v="48"/>
    <n v="1824"/>
    <x v="1"/>
    <s v="Bank Transfer"/>
    <x v="0"/>
    <m/>
    <m/>
    <m/>
  </r>
  <r>
    <s v="CUST_283"/>
    <n v="24"/>
    <n v="110"/>
    <n v="2640"/>
    <x v="2"/>
    <s v="Credit Card"/>
    <x v="0"/>
    <m/>
    <m/>
    <m/>
  </r>
  <r>
    <s v="CUST_284"/>
    <n v="5"/>
    <n v="67"/>
    <n v="335"/>
    <x v="1"/>
    <s v="Bank Transfer"/>
    <x v="1"/>
    <m/>
    <m/>
    <m/>
  </r>
  <r>
    <s v="CUST_285"/>
    <n v="52"/>
    <n v="117"/>
    <n v="6084"/>
    <x v="1"/>
    <s v="Credit Card"/>
    <x v="0"/>
    <m/>
    <m/>
    <m/>
  </r>
  <r>
    <s v="CUST_286"/>
    <n v="34"/>
    <n v="91"/>
    <n v="3094"/>
    <x v="1"/>
    <s v="Bank Transfer"/>
    <x v="0"/>
    <m/>
    <m/>
    <m/>
  </r>
  <r>
    <s v="CUST_287"/>
    <n v="6"/>
    <n v="55"/>
    <n v="330"/>
    <x v="1"/>
    <s v="Bank Transfer"/>
    <x v="1"/>
    <m/>
    <m/>
    <m/>
  </r>
  <r>
    <s v="CUST_288"/>
    <n v="22"/>
    <n v="108"/>
    <n v="2376"/>
    <x v="1"/>
    <s v="Bank Transfer"/>
    <x v="0"/>
    <m/>
    <m/>
    <m/>
  </r>
  <r>
    <s v="CUST_289"/>
    <n v="11"/>
    <n v="51"/>
    <n v="561"/>
    <x v="2"/>
    <s v="Electronic"/>
    <x v="0"/>
    <m/>
    <m/>
    <m/>
  </r>
  <r>
    <s v="CUST_290"/>
    <n v="48"/>
    <n v="64"/>
    <n v="3072"/>
    <x v="2"/>
    <s v="Electronic"/>
    <x v="0"/>
    <m/>
    <m/>
    <m/>
  </r>
  <r>
    <s v="CUST_291"/>
    <n v="16"/>
    <n v="91"/>
    <n v="1456"/>
    <x v="1"/>
    <s v="Credit Card"/>
    <x v="0"/>
    <m/>
    <m/>
    <m/>
  </r>
  <r>
    <s v="CUST_292"/>
    <n v="33"/>
    <n v="92"/>
    <n v="3036"/>
    <x v="0"/>
    <s v="Credit Card"/>
    <x v="0"/>
    <m/>
    <m/>
    <m/>
  </r>
  <r>
    <s v="CUST_293"/>
    <n v="9"/>
    <n v="62"/>
    <n v="558"/>
    <x v="2"/>
    <s v="Electronic"/>
    <x v="0"/>
    <m/>
    <m/>
    <m/>
  </r>
  <r>
    <s v="CUST_294"/>
    <n v="59"/>
    <n v="55"/>
    <n v="3245"/>
    <x v="1"/>
    <s v="Credit Card"/>
    <x v="0"/>
    <m/>
    <m/>
    <m/>
  </r>
  <r>
    <s v="CUST_295"/>
    <n v="6"/>
    <n v="96"/>
    <n v="576"/>
    <x v="0"/>
    <s v="Electronic"/>
    <x v="0"/>
    <m/>
    <m/>
    <m/>
  </r>
  <r>
    <s v="CUST_296"/>
    <n v="16"/>
    <n v="78"/>
    <n v="1248"/>
    <x v="0"/>
    <s v="Bank Transfer"/>
    <x v="0"/>
    <m/>
    <m/>
    <m/>
  </r>
  <r>
    <s v="CUST_297"/>
    <n v="29"/>
    <n v="92"/>
    <n v="2668"/>
    <x v="1"/>
    <s v="Credit Card"/>
    <x v="0"/>
    <m/>
    <m/>
    <m/>
  </r>
  <r>
    <s v="CUST_298"/>
    <n v="3"/>
    <n v="81"/>
    <n v="243"/>
    <x v="1"/>
    <s v="Credit Card"/>
    <x v="1"/>
    <m/>
    <m/>
    <m/>
  </r>
  <r>
    <s v="CUST_299"/>
    <n v="20"/>
    <n v="97"/>
    <n v="1940"/>
    <x v="0"/>
    <s v="Electronic"/>
    <x v="0"/>
    <m/>
    <m/>
    <m/>
  </r>
  <r>
    <s v="CUST_300"/>
    <n v="59"/>
    <n v="78"/>
    <n v="4602"/>
    <x v="2"/>
    <s v="Credit Card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CUST_1"/>
    <n v="39"/>
    <n v="75"/>
    <n v="2925"/>
    <s v="Two Year"/>
    <x v="0"/>
    <s v="No"/>
    <n v="301"/>
    <n v="34"/>
    <n v="0.11295681063122924"/>
    <x v="0"/>
  </r>
  <r>
    <s v="CUST_2"/>
    <n v="52"/>
    <n v="58"/>
    <n v="3016"/>
    <s v="Month-to-Month"/>
    <x v="1"/>
    <s v="No"/>
    <m/>
    <m/>
    <m/>
    <x v="1"/>
  </r>
  <r>
    <s v="CUST_3"/>
    <n v="29"/>
    <n v="106"/>
    <n v="3074"/>
    <s v="One Year"/>
    <x v="0"/>
    <s v="No"/>
    <m/>
    <m/>
    <m/>
    <x v="1"/>
  </r>
  <r>
    <s v="CUST_4"/>
    <n v="15"/>
    <n v="58"/>
    <n v="870"/>
    <s v="One Year"/>
    <x v="0"/>
    <s v="No"/>
    <m/>
    <m/>
    <m/>
    <x v="1"/>
  </r>
  <r>
    <s v="CUST_5"/>
    <n v="43"/>
    <n v="59"/>
    <n v="2537"/>
    <s v="One Year"/>
    <x v="2"/>
    <s v="No"/>
    <m/>
    <m/>
    <m/>
    <x v="1"/>
  </r>
  <r>
    <s v="CUST_6"/>
    <n v="8"/>
    <n v="110"/>
    <n v="880"/>
    <s v="Two Year"/>
    <x v="2"/>
    <s v="No"/>
    <m/>
    <m/>
    <m/>
    <x v="1"/>
  </r>
  <r>
    <s v="CUST_7"/>
    <n v="21"/>
    <n v="91"/>
    <n v="1911"/>
    <s v="One Year"/>
    <x v="1"/>
    <s v="No"/>
    <m/>
    <m/>
    <m/>
    <x v="1"/>
  </r>
  <r>
    <s v="CUST_8"/>
    <n v="39"/>
    <n v="72"/>
    <n v="2808"/>
    <s v="Two Year"/>
    <x v="0"/>
    <s v="No"/>
    <m/>
    <m/>
    <m/>
    <x v="1"/>
  </r>
  <r>
    <s v="CUST_9"/>
    <n v="58"/>
    <n v="79"/>
    <n v="4582"/>
    <s v="Two Year"/>
    <x v="0"/>
    <s v="No"/>
    <m/>
    <m/>
    <m/>
    <x v="1"/>
  </r>
  <r>
    <s v="CUST_10"/>
    <n v="19"/>
    <n v="78"/>
    <n v="1482"/>
    <s v="Two Year"/>
    <x v="0"/>
    <s v="No"/>
    <m/>
    <m/>
    <m/>
    <x v="1"/>
  </r>
  <r>
    <s v="CUST_11"/>
    <n v="23"/>
    <n v="40"/>
    <n v="920"/>
    <s v="Month-to-Month"/>
    <x v="1"/>
    <s v="No"/>
    <m/>
    <m/>
    <m/>
    <x v="1"/>
  </r>
  <r>
    <s v="CUST_12"/>
    <n v="11"/>
    <n v="50"/>
    <n v="550"/>
    <s v="Month-to-Month"/>
    <x v="1"/>
    <s v="Yes"/>
    <m/>
    <m/>
    <m/>
    <x v="1"/>
  </r>
  <r>
    <s v="CUST_13"/>
    <n v="11"/>
    <n v="96"/>
    <n v="1056"/>
    <s v="Month-to-Month"/>
    <x v="2"/>
    <s v="Yes"/>
    <m/>
    <m/>
    <m/>
    <x v="1"/>
  </r>
  <r>
    <s v="CUST_14"/>
    <n v="24"/>
    <n v="89"/>
    <n v="2136"/>
    <s v="Two Year"/>
    <x v="2"/>
    <s v="No"/>
    <m/>
    <m/>
    <m/>
    <x v="1"/>
  </r>
  <r>
    <s v="CUST_15"/>
    <n v="53"/>
    <n v="62"/>
    <n v="3286"/>
    <s v="Month-to-Month"/>
    <x v="2"/>
    <s v="No"/>
    <m/>
    <m/>
    <m/>
    <x v="1"/>
  </r>
  <r>
    <s v="CUST_16"/>
    <n v="36"/>
    <n v="70"/>
    <n v="2520"/>
    <s v="One Year"/>
    <x v="0"/>
    <s v="No"/>
    <m/>
    <m/>
    <m/>
    <x v="1"/>
  </r>
  <r>
    <s v="CUST_17"/>
    <n v="40"/>
    <n v="81"/>
    <n v="3240"/>
    <s v="Month-to-Month"/>
    <x v="0"/>
    <s v="No"/>
    <m/>
    <m/>
    <m/>
    <x v="1"/>
  </r>
  <r>
    <s v="CUST_18"/>
    <n v="24"/>
    <n v="46"/>
    <n v="1104"/>
    <s v="One Year"/>
    <x v="2"/>
    <s v="No"/>
    <m/>
    <m/>
    <m/>
    <x v="1"/>
  </r>
  <r>
    <s v="CUST_19"/>
    <n v="3"/>
    <n v="55"/>
    <n v="165"/>
    <s v="Two Year"/>
    <x v="0"/>
    <s v="No"/>
    <m/>
    <m/>
    <m/>
    <x v="1"/>
  </r>
  <r>
    <s v="CUST_20"/>
    <n v="22"/>
    <n v="99"/>
    <n v="2178"/>
    <s v="Two Year"/>
    <x v="2"/>
    <s v="No"/>
    <m/>
    <m/>
    <m/>
    <x v="1"/>
  </r>
  <r>
    <s v="CUST_21"/>
    <n v="53"/>
    <n v="41"/>
    <n v="2173"/>
    <s v="Month-to-Month"/>
    <x v="1"/>
    <s v="No"/>
    <m/>
    <m/>
    <m/>
    <x v="1"/>
  </r>
  <r>
    <s v="CUST_22"/>
    <n v="2"/>
    <n v="40"/>
    <n v="80"/>
    <s v="Two Year"/>
    <x v="2"/>
    <s v="No"/>
    <m/>
    <m/>
    <m/>
    <x v="1"/>
  </r>
  <r>
    <s v="CUST_23"/>
    <n v="24"/>
    <n v="87"/>
    <n v="2088"/>
    <s v="One Year"/>
    <x v="1"/>
    <s v="No"/>
    <m/>
    <m/>
    <m/>
    <x v="1"/>
  </r>
  <r>
    <s v="CUST_24"/>
    <n v="44"/>
    <n v="51"/>
    <n v="2244"/>
    <s v="Month-to-Month"/>
    <x v="0"/>
    <s v="No"/>
    <m/>
    <m/>
    <m/>
    <x v="1"/>
  </r>
  <r>
    <s v="CUST_25"/>
    <n v="30"/>
    <n v="108"/>
    <n v="3240"/>
    <s v="One Year"/>
    <x v="2"/>
    <s v="No"/>
    <m/>
    <m/>
    <m/>
    <x v="1"/>
  </r>
  <r>
    <s v="CUST_26"/>
    <n v="38"/>
    <n v="76"/>
    <n v="2888"/>
    <s v="Month-to-Month"/>
    <x v="0"/>
    <s v="No"/>
    <m/>
    <m/>
    <m/>
    <x v="1"/>
  </r>
  <r>
    <s v="CUST_27"/>
    <n v="2"/>
    <n v="71"/>
    <n v="142"/>
    <s v="Month-to-Month"/>
    <x v="1"/>
    <s v="Yes"/>
    <m/>
    <m/>
    <m/>
    <x v="1"/>
  </r>
  <r>
    <s v="CUST_28"/>
    <n v="21"/>
    <n v="48"/>
    <n v="1008"/>
    <s v="One Year"/>
    <x v="1"/>
    <s v="No"/>
    <m/>
    <m/>
    <m/>
    <x v="1"/>
  </r>
  <r>
    <s v="CUST_29"/>
    <n v="33"/>
    <n v="58"/>
    <n v="1914"/>
    <s v="Month-to-Month"/>
    <x v="1"/>
    <s v="No"/>
    <m/>
    <m/>
    <m/>
    <x v="1"/>
  </r>
  <r>
    <s v="CUST_30"/>
    <n v="12"/>
    <n v="87"/>
    <n v="1044"/>
    <s v="Month-to-Month"/>
    <x v="0"/>
    <s v="No"/>
    <m/>
    <m/>
    <m/>
    <x v="1"/>
  </r>
  <r>
    <s v="CUST_31"/>
    <n v="58"/>
    <n v="119"/>
    <n v="6902"/>
    <s v="Month-to-Month"/>
    <x v="0"/>
    <s v="No"/>
    <m/>
    <m/>
    <m/>
    <x v="1"/>
  </r>
  <r>
    <s v="CUST_32"/>
    <n v="22"/>
    <n v="42"/>
    <n v="924"/>
    <s v="Month-to-Month"/>
    <x v="0"/>
    <s v="No"/>
    <m/>
    <m/>
    <m/>
    <x v="1"/>
  </r>
  <r>
    <s v="CUST_33"/>
    <n v="44"/>
    <n v="59"/>
    <n v="2596"/>
    <s v="Month-to-Month"/>
    <x v="0"/>
    <s v="No"/>
    <m/>
    <m/>
    <m/>
    <x v="1"/>
  </r>
  <r>
    <s v="CUST_34"/>
    <n v="25"/>
    <n v="63"/>
    <n v="1575"/>
    <s v="One Year"/>
    <x v="1"/>
    <s v="No"/>
    <m/>
    <m/>
    <m/>
    <x v="1"/>
  </r>
  <r>
    <s v="CUST_35"/>
    <n v="49"/>
    <n v="93"/>
    <n v="4557"/>
    <s v="One Year"/>
    <x v="1"/>
    <s v="No"/>
    <m/>
    <m/>
    <m/>
    <x v="1"/>
  </r>
  <r>
    <s v="CUST_36"/>
    <n v="27"/>
    <n v="72"/>
    <n v="1944"/>
    <s v="One Year"/>
    <x v="2"/>
    <s v="No"/>
    <m/>
    <m/>
    <m/>
    <x v="1"/>
  </r>
  <r>
    <s v="CUST_37"/>
    <n v="59"/>
    <n v="63"/>
    <n v="3717"/>
    <s v="Two Year"/>
    <x v="2"/>
    <s v="No"/>
    <m/>
    <m/>
    <m/>
    <x v="1"/>
  </r>
  <r>
    <s v="CUST_38"/>
    <n v="42"/>
    <n v="114"/>
    <n v="4788"/>
    <s v="One Year"/>
    <x v="0"/>
    <s v="No"/>
    <m/>
    <m/>
    <m/>
    <x v="1"/>
  </r>
  <r>
    <s v="CUST_39"/>
    <n v="28"/>
    <n v="111"/>
    <n v="3108"/>
    <s v="One Year"/>
    <x v="1"/>
    <s v="No"/>
    <m/>
    <m/>
    <m/>
    <x v="1"/>
  </r>
  <r>
    <s v="CUST_40"/>
    <n v="16"/>
    <n v="75"/>
    <n v="1200"/>
    <s v="Month-to-Month"/>
    <x v="1"/>
    <s v="No"/>
    <m/>
    <m/>
    <m/>
    <x v="1"/>
  </r>
  <r>
    <s v="CUST_41"/>
    <n v="15"/>
    <n v="77"/>
    <n v="1155"/>
    <s v="Month-to-Month"/>
    <x v="1"/>
    <s v="No"/>
    <m/>
    <m/>
    <m/>
    <x v="1"/>
  </r>
  <r>
    <s v="CUST_42"/>
    <n v="47"/>
    <n v="64"/>
    <n v="3008"/>
    <s v="Month-to-Month"/>
    <x v="2"/>
    <s v="No"/>
    <m/>
    <m/>
    <m/>
    <x v="1"/>
  </r>
  <r>
    <s v="CUST_43"/>
    <n v="51"/>
    <n v="57"/>
    <n v="2907"/>
    <s v="Month-to-Month"/>
    <x v="2"/>
    <s v="No"/>
    <m/>
    <m/>
    <m/>
    <x v="1"/>
  </r>
  <r>
    <s v="CUST_44"/>
    <n v="44"/>
    <n v="105"/>
    <n v="4620"/>
    <s v="One Year"/>
    <x v="1"/>
    <s v="No"/>
    <m/>
    <m/>
    <m/>
    <x v="1"/>
  </r>
  <r>
    <s v="CUST_45"/>
    <n v="55"/>
    <n v="93"/>
    <n v="5115"/>
    <s v="Month-to-Month"/>
    <x v="1"/>
    <s v="No"/>
    <m/>
    <m/>
    <m/>
    <x v="1"/>
  </r>
  <r>
    <s v="CUST_46"/>
    <n v="52"/>
    <n v="74"/>
    <n v="3848"/>
    <s v="Two Year"/>
    <x v="1"/>
    <s v="No"/>
    <m/>
    <m/>
    <m/>
    <x v="1"/>
  </r>
  <r>
    <s v="CUST_47"/>
    <n v="57"/>
    <n v="119"/>
    <n v="6783"/>
    <s v="Two Year"/>
    <x v="2"/>
    <s v="No"/>
    <m/>
    <m/>
    <m/>
    <x v="1"/>
  </r>
  <r>
    <s v="CUST_48"/>
    <n v="3"/>
    <n v="100"/>
    <n v="300"/>
    <s v="One Year"/>
    <x v="1"/>
    <s v="No"/>
    <m/>
    <m/>
    <m/>
    <x v="1"/>
  </r>
  <r>
    <s v="CUST_49"/>
    <n v="37"/>
    <n v="80"/>
    <n v="2960"/>
    <s v="Month-to-Month"/>
    <x v="1"/>
    <s v="No"/>
    <m/>
    <m/>
    <m/>
    <x v="1"/>
  </r>
  <r>
    <s v="CUST_50"/>
    <n v="51"/>
    <n v="72"/>
    <n v="3672"/>
    <s v="Month-to-Month"/>
    <x v="0"/>
    <s v="No"/>
    <m/>
    <m/>
    <m/>
    <x v="1"/>
  </r>
  <r>
    <s v="CUST_51"/>
    <n v="7"/>
    <n v="107"/>
    <n v="749"/>
    <s v="Two Year"/>
    <x v="0"/>
    <s v="No"/>
    <m/>
    <m/>
    <m/>
    <x v="1"/>
  </r>
  <r>
    <s v="CUST_52"/>
    <n v="21"/>
    <n v="72"/>
    <n v="1512"/>
    <s v="Two Year"/>
    <x v="2"/>
    <s v="No"/>
    <m/>
    <m/>
    <m/>
    <x v="1"/>
  </r>
  <r>
    <s v="CUST_53"/>
    <n v="9"/>
    <n v="53"/>
    <n v="477"/>
    <s v="Month-to-Month"/>
    <x v="1"/>
    <s v="Yes"/>
    <m/>
    <m/>
    <m/>
    <x v="1"/>
  </r>
  <r>
    <s v="CUST_54"/>
    <n v="39"/>
    <n v="60"/>
    <n v="2340"/>
    <s v="One Year"/>
    <x v="1"/>
    <s v="No"/>
    <m/>
    <m/>
    <m/>
    <x v="1"/>
  </r>
  <r>
    <s v="CUST_55"/>
    <n v="18"/>
    <n v="87"/>
    <n v="1566"/>
    <s v="Month-to-Month"/>
    <x v="0"/>
    <s v="No"/>
    <m/>
    <m/>
    <m/>
    <x v="1"/>
  </r>
  <r>
    <s v="CUST_56"/>
    <n v="4"/>
    <n v="59"/>
    <n v="236"/>
    <s v="Month-to-Month"/>
    <x v="2"/>
    <s v="Yes"/>
    <m/>
    <m/>
    <m/>
    <x v="1"/>
  </r>
  <r>
    <s v="CUST_57"/>
    <n v="25"/>
    <n v="47"/>
    <n v="1175"/>
    <s v="Month-to-Month"/>
    <x v="0"/>
    <s v="No"/>
    <m/>
    <m/>
    <m/>
    <x v="1"/>
  </r>
  <r>
    <s v="CUST_58"/>
    <n v="14"/>
    <n v="46"/>
    <n v="644"/>
    <s v="Month-to-Month"/>
    <x v="0"/>
    <s v="No"/>
    <m/>
    <m/>
    <m/>
    <x v="1"/>
  </r>
  <r>
    <s v="CUST_59"/>
    <n v="50"/>
    <n v="106"/>
    <n v="5300"/>
    <s v="Two Year"/>
    <x v="0"/>
    <s v="No"/>
    <m/>
    <m/>
    <m/>
    <x v="1"/>
  </r>
  <r>
    <s v="CUST_60"/>
    <n v="58"/>
    <n v="56"/>
    <n v="3248"/>
    <s v="One Year"/>
    <x v="0"/>
    <s v="No"/>
    <m/>
    <m/>
    <m/>
    <x v="1"/>
  </r>
  <r>
    <s v="CUST_61"/>
    <n v="9"/>
    <n v="72"/>
    <n v="648"/>
    <s v="Month-to-Month"/>
    <x v="1"/>
    <s v="Yes"/>
    <m/>
    <m/>
    <m/>
    <x v="1"/>
  </r>
  <r>
    <s v="CUST_62"/>
    <n v="26"/>
    <n v="87"/>
    <n v="2262"/>
    <s v="One Year"/>
    <x v="1"/>
    <s v="No"/>
    <m/>
    <m/>
    <m/>
    <x v="1"/>
  </r>
  <r>
    <s v="CUST_63"/>
    <n v="53"/>
    <n v="115"/>
    <n v="6095"/>
    <s v="Two Year"/>
    <x v="0"/>
    <s v="No"/>
    <m/>
    <m/>
    <m/>
    <x v="1"/>
  </r>
  <r>
    <s v="CUST_64"/>
    <n v="2"/>
    <n v="98"/>
    <n v="196"/>
    <s v="Two Year"/>
    <x v="2"/>
    <s v="No"/>
    <m/>
    <m/>
    <m/>
    <x v="1"/>
  </r>
  <r>
    <s v="CUST_65"/>
    <n v="20"/>
    <n v="61"/>
    <n v="1220"/>
    <s v="Month-to-Month"/>
    <x v="2"/>
    <s v="No"/>
    <m/>
    <m/>
    <m/>
    <x v="1"/>
  </r>
  <r>
    <s v="CUST_66"/>
    <n v="28"/>
    <n v="69"/>
    <n v="1932"/>
    <s v="Month-to-Month"/>
    <x v="2"/>
    <s v="No"/>
    <m/>
    <m/>
    <m/>
    <x v="1"/>
  </r>
  <r>
    <s v="CUST_67"/>
    <n v="47"/>
    <n v="77"/>
    <n v="3619"/>
    <s v="Month-to-Month"/>
    <x v="2"/>
    <s v="No"/>
    <m/>
    <m/>
    <m/>
    <x v="1"/>
  </r>
  <r>
    <s v="CUST_68"/>
    <n v="7"/>
    <n v="90"/>
    <n v="630"/>
    <s v="Month-to-Month"/>
    <x v="0"/>
    <s v="Yes"/>
    <m/>
    <m/>
    <m/>
    <x v="1"/>
  </r>
  <r>
    <s v="CUST_69"/>
    <n v="44"/>
    <n v="93"/>
    <n v="4092"/>
    <s v="Month-to-Month"/>
    <x v="1"/>
    <s v="No"/>
    <m/>
    <m/>
    <m/>
    <x v="1"/>
  </r>
  <r>
    <s v="CUST_70"/>
    <n v="8"/>
    <n v="47"/>
    <n v="376"/>
    <s v="One Year"/>
    <x v="2"/>
    <s v="No"/>
    <m/>
    <m/>
    <m/>
    <x v="1"/>
  </r>
  <r>
    <s v="CUST_71"/>
    <n v="47"/>
    <n v="66"/>
    <n v="3102"/>
    <s v="Month-to-Month"/>
    <x v="0"/>
    <s v="No"/>
    <m/>
    <m/>
    <m/>
    <x v="1"/>
  </r>
  <r>
    <s v="CUST_72"/>
    <n v="35"/>
    <n v="66"/>
    <n v="2310"/>
    <s v="Month-to-Month"/>
    <x v="2"/>
    <s v="No"/>
    <m/>
    <m/>
    <m/>
    <x v="1"/>
  </r>
  <r>
    <s v="CUST_73"/>
    <n v="14"/>
    <n v="60"/>
    <n v="840"/>
    <s v="Month-to-Month"/>
    <x v="2"/>
    <s v="No"/>
    <m/>
    <m/>
    <m/>
    <x v="1"/>
  </r>
  <r>
    <s v="CUST_74"/>
    <n v="17"/>
    <n v="69"/>
    <n v="1173"/>
    <s v="Month-to-Month"/>
    <x v="0"/>
    <s v="No"/>
    <m/>
    <m/>
    <m/>
    <x v="1"/>
  </r>
  <r>
    <s v="CUST_75"/>
    <n v="36"/>
    <n v="67"/>
    <n v="2412"/>
    <s v="Month-to-Month"/>
    <x v="1"/>
    <s v="No"/>
    <m/>
    <m/>
    <m/>
    <x v="1"/>
  </r>
  <r>
    <s v="CUST_76"/>
    <n v="50"/>
    <n v="103"/>
    <n v="5150"/>
    <s v="Month-to-Month"/>
    <x v="1"/>
    <s v="No"/>
    <m/>
    <m/>
    <m/>
    <x v="1"/>
  </r>
  <r>
    <s v="CUST_77"/>
    <n v="40"/>
    <n v="108"/>
    <n v="4320"/>
    <s v="Month-to-Month"/>
    <x v="0"/>
    <s v="No"/>
    <m/>
    <m/>
    <m/>
    <x v="1"/>
  </r>
  <r>
    <s v="CUST_78"/>
    <n v="4"/>
    <n v="100"/>
    <n v="400"/>
    <s v="Month-to-Month"/>
    <x v="1"/>
    <s v="Yes"/>
    <m/>
    <m/>
    <m/>
    <x v="1"/>
  </r>
  <r>
    <s v="CUST_79"/>
    <n v="2"/>
    <n v="87"/>
    <n v="174"/>
    <s v="Month-to-Month"/>
    <x v="0"/>
    <s v="Yes"/>
    <m/>
    <m/>
    <m/>
    <x v="1"/>
  </r>
  <r>
    <s v="CUST_80"/>
    <n v="6"/>
    <n v="58"/>
    <n v="348"/>
    <s v="One Year"/>
    <x v="0"/>
    <s v="No"/>
    <m/>
    <m/>
    <m/>
    <x v="1"/>
  </r>
  <r>
    <s v="CUST_81"/>
    <n v="54"/>
    <n v="43"/>
    <n v="2322"/>
    <s v="Month-to-Month"/>
    <x v="0"/>
    <s v="No"/>
    <m/>
    <m/>
    <m/>
    <x v="1"/>
  </r>
  <r>
    <s v="CUST_82"/>
    <n v="42"/>
    <n v="74"/>
    <n v="3108"/>
    <s v="Month-to-Month"/>
    <x v="1"/>
    <s v="No"/>
    <m/>
    <m/>
    <m/>
    <x v="1"/>
  </r>
  <r>
    <s v="CUST_83"/>
    <n v="4"/>
    <n v="103"/>
    <n v="412"/>
    <s v="Month-to-Month"/>
    <x v="0"/>
    <s v="Yes"/>
    <m/>
    <m/>
    <m/>
    <x v="1"/>
  </r>
  <r>
    <s v="CUST_84"/>
    <n v="54"/>
    <n v="88"/>
    <n v="4752"/>
    <s v="Two Year"/>
    <x v="2"/>
    <s v="No"/>
    <m/>
    <m/>
    <m/>
    <x v="1"/>
  </r>
  <r>
    <s v="CUST_85"/>
    <n v="29"/>
    <n v="56"/>
    <n v="1624"/>
    <s v="Month-to-Month"/>
    <x v="1"/>
    <s v="No"/>
    <m/>
    <m/>
    <m/>
    <x v="1"/>
  </r>
  <r>
    <s v="CUST_86"/>
    <n v="18"/>
    <n v="83"/>
    <n v="1494"/>
    <s v="One Year"/>
    <x v="1"/>
    <s v="No"/>
    <m/>
    <m/>
    <m/>
    <x v="1"/>
  </r>
  <r>
    <s v="CUST_87"/>
    <n v="26"/>
    <n v="69"/>
    <n v="1794"/>
    <s v="Two Year"/>
    <x v="1"/>
    <s v="No"/>
    <m/>
    <m/>
    <m/>
    <x v="1"/>
  </r>
  <r>
    <s v="CUST_88"/>
    <n v="44"/>
    <n v="85"/>
    <n v="3740"/>
    <s v="Month-to-Month"/>
    <x v="1"/>
    <s v="No"/>
    <m/>
    <m/>
    <m/>
    <x v="1"/>
  </r>
  <r>
    <s v="CUST_89"/>
    <n v="34"/>
    <n v="45"/>
    <n v="1530"/>
    <s v="Two Year"/>
    <x v="2"/>
    <s v="No"/>
    <m/>
    <m/>
    <m/>
    <x v="1"/>
  </r>
  <r>
    <s v="CUST_90"/>
    <n v="10"/>
    <n v="76"/>
    <n v="760"/>
    <s v="One Year"/>
    <x v="1"/>
    <s v="No"/>
    <m/>
    <m/>
    <m/>
    <x v="1"/>
  </r>
  <r>
    <s v="CUST_91"/>
    <n v="36"/>
    <n v="63"/>
    <n v="2268"/>
    <s v="Month-to-Month"/>
    <x v="1"/>
    <s v="No"/>
    <m/>
    <m/>
    <m/>
    <x v="1"/>
  </r>
  <r>
    <s v="CUST_92"/>
    <n v="14"/>
    <n v="85"/>
    <n v="1190"/>
    <s v="Month-to-Month"/>
    <x v="0"/>
    <s v="No"/>
    <m/>
    <m/>
    <m/>
    <x v="1"/>
  </r>
  <r>
    <s v="CUST_93"/>
    <n v="31"/>
    <n v="92"/>
    <n v="2852"/>
    <s v="One Year"/>
    <x v="1"/>
    <s v="No"/>
    <m/>
    <m/>
    <m/>
    <x v="1"/>
  </r>
  <r>
    <s v="CUST_94"/>
    <n v="48"/>
    <n v="99"/>
    <n v="4752"/>
    <s v="Month-to-Month"/>
    <x v="2"/>
    <s v="No"/>
    <m/>
    <m/>
    <m/>
    <x v="1"/>
  </r>
  <r>
    <s v="CUST_95"/>
    <n v="15"/>
    <n v="102"/>
    <n v="1530"/>
    <s v="Two Year"/>
    <x v="2"/>
    <s v="No"/>
    <m/>
    <m/>
    <m/>
    <x v="1"/>
  </r>
  <r>
    <s v="CUST_96"/>
    <n v="8"/>
    <n v="71"/>
    <n v="568"/>
    <s v="Month-to-Month"/>
    <x v="2"/>
    <s v="Yes"/>
    <m/>
    <m/>
    <m/>
    <x v="1"/>
  </r>
  <r>
    <s v="CUST_97"/>
    <n v="14"/>
    <n v="72"/>
    <n v="1008"/>
    <s v="One Year"/>
    <x v="2"/>
    <s v="No"/>
    <m/>
    <m/>
    <m/>
    <x v="1"/>
  </r>
  <r>
    <s v="CUST_98"/>
    <n v="23"/>
    <n v="106"/>
    <n v="2438"/>
    <s v="Month-to-Month"/>
    <x v="1"/>
    <s v="No"/>
    <m/>
    <m/>
    <m/>
    <x v="1"/>
  </r>
  <r>
    <s v="CUST_99"/>
    <n v="57"/>
    <n v="57"/>
    <n v="3249"/>
    <s v="Two Year"/>
    <x v="1"/>
    <s v="No"/>
    <m/>
    <m/>
    <m/>
    <x v="1"/>
  </r>
  <r>
    <s v="CUST_100"/>
    <n v="40"/>
    <n v="64"/>
    <n v="2560"/>
    <s v="One Year"/>
    <x v="2"/>
    <s v="No"/>
    <m/>
    <m/>
    <m/>
    <x v="1"/>
  </r>
  <r>
    <s v="CUST_101"/>
    <n v="21"/>
    <n v="93"/>
    <n v="1953"/>
    <s v="Month-to-Month"/>
    <x v="2"/>
    <s v="No"/>
    <m/>
    <m/>
    <m/>
    <x v="1"/>
  </r>
  <r>
    <s v="CUST_102"/>
    <n v="16"/>
    <n v="97"/>
    <n v="1552"/>
    <s v="Month-to-Month"/>
    <x v="1"/>
    <s v="No"/>
    <m/>
    <m/>
    <m/>
    <x v="1"/>
  </r>
  <r>
    <s v="CUST_103"/>
    <n v="45"/>
    <n v="106"/>
    <n v="4770"/>
    <s v="Month-to-Month"/>
    <x v="2"/>
    <s v="No"/>
    <m/>
    <m/>
    <m/>
    <x v="1"/>
  </r>
  <r>
    <s v="CUST_104"/>
    <n v="18"/>
    <n v="85"/>
    <n v="1530"/>
    <s v="Month-to-Month"/>
    <x v="0"/>
    <s v="No"/>
    <m/>
    <m/>
    <m/>
    <x v="1"/>
  </r>
  <r>
    <s v="CUST_105"/>
    <n v="47"/>
    <n v="63"/>
    <n v="2961"/>
    <s v="Month-to-Month"/>
    <x v="2"/>
    <s v="No"/>
    <m/>
    <m/>
    <m/>
    <x v="1"/>
  </r>
  <r>
    <s v="CUST_106"/>
    <n v="53"/>
    <n v="71"/>
    <n v="3763"/>
    <s v="One Year"/>
    <x v="2"/>
    <s v="No"/>
    <m/>
    <m/>
    <m/>
    <x v="1"/>
  </r>
  <r>
    <s v="CUST_107"/>
    <n v="24"/>
    <n v="86"/>
    <n v="2064"/>
    <s v="One Year"/>
    <x v="0"/>
    <s v="No"/>
    <m/>
    <m/>
    <m/>
    <x v="1"/>
  </r>
  <r>
    <s v="CUST_108"/>
    <n v="26"/>
    <n v="62"/>
    <n v="1612"/>
    <s v="One Year"/>
    <x v="0"/>
    <s v="No"/>
    <m/>
    <m/>
    <m/>
    <x v="1"/>
  </r>
  <r>
    <s v="CUST_109"/>
    <n v="25"/>
    <n v="105"/>
    <n v="2625"/>
    <s v="Two Year"/>
    <x v="1"/>
    <s v="No"/>
    <m/>
    <m/>
    <m/>
    <x v="1"/>
  </r>
  <r>
    <s v="CUST_110"/>
    <n v="45"/>
    <n v="66"/>
    <n v="2970"/>
    <s v="One Year"/>
    <x v="1"/>
    <s v="No"/>
    <m/>
    <m/>
    <m/>
    <x v="1"/>
  </r>
  <r>
    <s v="CUST_111"/>
    <n v="41"/>
    <n v="41"/>
    <n v="1681"/>
    <s v="One Year"/>
    <x v="0"/>
    <s v="No"/>
    <m/>
    <m/>
    <m/>
    <x v="1"/>
  </r>
  <r>
    <s v="CUST_112"/>
    <n v="29"/>
    <n v="56"/>
    <n v="1624"/>
    <s v="One Year"/>
    <x v="0"/>
    <s v="No"/>
    <m/>
    <m/>
    <m/>
    <x v="1"/>
  </r>
  <r>
    <s v="CUST_113"/>
    <n v="15"/>
    <n v="72"/>
    <n v="1080"/>
    <s v="Month-to-Month"/>
    <x v="1"/>
    <s v="No"/>
    <m/>
    <m/>
    <m/>
    <x v="1"/>
  </r>
  <r>
    <s v="CUST_114"/>
    <n v="45"/>
    <n v="48"/>
    <n v="2160"/>
    <s v="Month-to-Month"/>
    <x v="2"/>
    <s v="No"/>
    <m/>
    <m/>
    <m/>
    <x v="1"/>
  </r>
  <r>
    <s v="CUST_115"/>
    <n v="1"/>
    <n v="82"/>
    <n v="82"/>
    <s v="Month-to-Month"/>
    <x v="0"/>
    <s v="Yes"/>
    <m/>
    <m/>
    <m/>
    <x v="1"/>
  </r>
  <r>
    <s v="CUST_116"/>
    <n v="25"/>
    <n v="87"/>
    <n v="2175"/>
    <s v="Month-to-Month"/>
    <x v="1"/>
    <s v="No"/>
    <m/>
    <m/>
    <m/>
    <x v="1"/>
  </r>
  <r>
    <s v="CUST_117"/>
    <n v="7"/>
    <n v="78"/>
    <n v="546"/>
    <s v="Month-to-Month"/>
    <x v="2"/>
    <s v="Yes"/>
    <m/>
    <m/>
    <m/>
    <x v="1"/>
  </r>
  <r>
    <s v="CUST_118"/>
    <n v="9"/>
    <n v="81"/>
    <n v="729"/>
    <s v="Month-to-Month"/>
    <x v="0"/>
    <s v="Yes"/>
    <m/>
    <m/>
    <m/>
    <x v="1"/>
  </r>
  <r>
    <s v="CUST_119"/>
    <n v="24"/>
    <n v="65"/>
    <n v="1560"/>
    <s v="Two Year"/>
    <x v="2"/>
    <s v="No"/>
    <m/>
    <m/>
    <m/>
    <x v="1"/>
  </r>
  <r>
    <s v="CUST_120"/>
    <n v="1"/>
    <n v="89"/>
    <n v="89"/>
    <s v="One Year"/>
    <x v="1"/>
    <s v="No"/>
    <m/>
    <m/>
    <m/>
    <x v="1"/>
  </r>
  <r>
    <s v="CUST_121"/>
    <n v="44"/>
    <n v="64"/>
    <n v="2816"/>
    <s v="Month-to-Month"/>
    <x v="0"/>
    <s v="No"/>
    <m/>
    <m/>
    <m/>
    <x v="1"/>
  </r>
  <r>
    <s v="CUST_122"/>
    <n v="8"/>
    <n v="63"/>
    <n v="504"/>
    <s v="Month-to-Month"/>
    <x v="2"/>
    <s v="Yes"/>
    <m/>
    <m/>
    <m/>
    <x v="1"/>
  </r>
  <r>
    <s v="CUST_123"/>
    <n v="24"/>
    <n v="52"/>
    <n v="1248"/>
    <s v="Month-to-Month"/>
    <x v="0"/>
    <s v="No"/>
    <m/>
    <m/>
    <m/>
    <x v="1"/>
  </r>
  <r>
    <s v="CUST_124"/>
    <n v="11"/>
    <n v="99"/>
    <n v="1089"/>
    <s v="Month-to-Month"/>
    <x v="2"/>
    <s v="Yes"/>
    <m/>
    <m/>
    <m/>
    <x v="1"/>
  </r>
  <r>
    <s v="CUST_125"/>
    <n v="51"/>
    <n v="46"/>
    <n v="2346"/>
    <s v="Month-to-Month"/>
    <x v="1"/>
    <s v="No"/>
    <m/>
    <m/>
    <m/>
    <x v="1"/>
  </r>
  <r>
    <s v="CUST_126"/>
    <n v="17"/>
    <n v="96"/>
    <n v="1632"/>
    <s v="Two Year"/>
    <x v="1"/>
    <s v="No"/>
    <m/>
    <m/>
    <m/>
    <x v="1"/>
  </r>
  <r>
    <s v="CUST_127"/>
    <n v="8"/>
    <n v="75"/>
    <n v="600"/>
    <s v="Month-to-Month"/>
    <x v="0"/>
    <s v="Yes"/>
    <m/>
    <m/>
    <m/>
    <x v="1"/>
  </r>
  <r>
    <s v="CUST_128"/>
    <n v="35"/>
    <n v="84"/>
    <n v="2940"/>
    <s v="Two Year"/>
    <x v="2"/>
    <s v="No"/>
    <m/>
    <m/>
    <m/>
    <x v="1"/>
  </r>
  <r>
    <s v="CUST_129"/>
    <n v="35"/>
    <n v="59"/>
    <n v="2065"/>
    <s v="Two Year"/>
    <x v="0"/>
    <s v="No"/>
    <m/>
    <m/>
    <m/>
    <x v="1"/>
  </r>
  <r>
    <s v="CUST_130"/>
    <n v="33"/>
    <n v="104"/>
    <n v="3432"/>
    <s v="Month-to-Month"/>
    <x v="0"/>
    <s v="No"/>
    <m/>
    <m/>
    <m/>
    <x v="1"/>
  </r>
  <r>
    <s v="CUST_131"/>
    <n v="59"/>
    <n v="47"/>
    <n v="2773"/>
    <s v="One Year"/>
    <x v="2"/>
    <s v="No"/>
    <m/>
    <m/>
    <m/>
    <x v="1"/>
  </r>
  <r>
    <s v="CUST_132"/>
    <n v="5"/>
    <n v="55"/>
    <n v="275"/>
    <s v="One Year"/>
    <x v="2"/>
    <s v="No"/>
    <m/>
    <m/>
    <m/>
    <x v="1"/>
  </r>
  <r>
    <s v="CUST_133"/>
    <n v="42"/>
    <n v="53"/>
    <n v="2226"/>
    <s v="Month-to-Month"/>
    <x v="2"/>
    <s v="No"/>
    <m/>
    <m/>
    <m/>
    <x v="1"/>
  </r>
  <r>
    <s v="CUST_134"/>
    <n v="39"/>
    <n v="115"/>
    <n v="4485"/>
    <s v="Month-to-Month"/>
    <x v="1"/>
    <s v="No"/>
    <m/>
    <m/>
    <m/>
    <x v="1"/>
  </r>
  <r>
    <s v="CUST_135"/>
    <n v="58"/>
    <n v="54"/>
    <n v="3132"/>
    <s v="One Year"/>
    <x v="0"/>
    <s v="No"/>
    <m/>
    <m/>
    <m/>
    <x v="1"/>
  </r>
  <r>
    <s v="CUST_136"/>
    <n v="41"/>
    <n v="105"/>
    <n v="4305"/>
    <s v="One Year"/>
    <x v="0"/>
    <s v="No"/>
    <m/>
    <m/>
    <m/>
    <x v="1"/>
  </r>
  <r>
    <s v="CUST_137"/>
    <n v="28"/>
    <n v="71"/>
    <n v="1988"/>
    <s v="Two Year"/>
    <x v="1"/>
    <s v="No"/>
    <m/>
    <m/>
    <m/>
    <x v="1"/>
  </r>
  <r>
    <s v="CUST_138"/>
    <n v="7"/>
    <n v="102"/>
    <n v="714"/>
    <s v="Two Year"/>
    <x v="2"/>
    <s v="No"/>
    <m/>
    <m/>
    <m/>
    <x v="1"/>
  </r>
  <r>
    <s v="CUST_139"/>
    <n v="9"/>
    <n v="90"/>
    <n v="810"/>
    <s v="One Year"/>
    <x v="1"/>
    <s v="No"/>
    <m/>
    <m/>
    <m/>
    <x v="1"/>
  </r>
  <r>
    <s v="CUST_140"/>
    <n v="8"/>
    <n v="64"/>
    <n v="512"/>
    <s v="Two Year"/>
    <x v="1"/>
    <s v="No"/>
    <m/>
    <m/>
    <m/>
    <x v="1"/>
  </r>
  <r>
    <s v="CUST_141"/>
    <n v="12"/>
    <n v="97"/>
    <n v="1164"/>
    <s v="One Year"/>
    <x v="1"/>
    <s v="No"/>
    <m/>
    <m/>
    <m/>
    <x v="1"/>
  </r>
  <r>
    <s v="CUST_142"/>
    <n v="34"/>
    <n v="102"/>
    <n v="3468"/>
    <s v="One Year"/>
    <x v="0"/>
    <s v="No"/>
    <m/>
    <m/>
    <m/>
    <x v="1"/>
  </r>
  <r>
    <s v="CUST_143"/>
    <n v="33"/>
    <n v="101"/>
    <n v="3333"/>
    <s v="One Year"/>
    <x v="1"/>
    <s v="No"/>
    <m/>
    <m/>
    <m/>
    <x v="1"/>
  </r>
  <r>
    <s v="CUST_144"/>
    <n v="48"/>
    <n v="61"/>
    <n v="2928"/>
    <s v="Month-to-Month"/>
    <x v="0"/>
    <s v="No"/>
    <m/>
    <m/>
    <m/>
    <x v="1"/>
  </r>
  <r>
    <s v="CUST_145"/>
    <n v="55"/>
    <n v="97"/>
    <n v="5335"/>
    <s v="One Year"/>
    <x v="0"/>
    <s v="No"/>
    <m/>
    <m/>
    <m/>
    <x v="1"/>
  </r>
  <r>
    <s v="CUST_146"/>
    <n v="23"/>
    <n v="97"/>
    <n v="2231"/>
    <s v="One Year"/>
    <x v="0"/>
    <s v="No"/>
    <m/>
    <m/>
    <m/>
    <x v="1"/>
  </r>
  <r>
    <s v="CUST_147"/>
    <n v="24"/>
    <n v="88"/>
    <n v="2112"/>
    <s v="Month-to-Month"/>
    <x v="2"/>
    <s v="No"/>
    <m/>
    <m/>
    <m/>
    <x v="1"/>
  </r>
  <r>
    <s v="CUST_148"/>
    <n v="37"/>
    <n v="91"/>
    <n v="3367"/>
    <s v="Two Year"/>
    <x v="0"/>
    <s v="No"/>
    <m/>
    <m/>
    <m/>
    <x v="1"/>
  </r>
  <r>
    <s v="CUST_149"/>
    <n v="35"/>
    <n v="81"/>
    <n v="2835"/>
    <s v="Month-to-Month"/>
    <x v="0"/>
    <s v="No"/>
    <m/>
    <m/>
    <m/>
    <x v="1"/>
  </r>
  <r>
    <s v="CUST_150"/>
    <n v="44"/>
    <n v="109"/>
    <n v="4796"/>
    <s v="One Year"/>
    <x v="2"/>
    <s v="No"/>
    <m/>
    <m/>
    <m/>
    <x v="1"/>
  </r>
  <r>
    <s v="CUST_151"/>
    <n v="40"/>
    <n v="54"/>
    <n v="2160"/>
    <s v="One Year"/>
    <x v="0"/>
    <s v="No"/>
    <m/>
    <m/>
    <m/>
    <x v="1"/>
  </r>
  <r>
    <s v="CUST_152"/>
    <n v="22"/>
    <n v="93"/>
    <n v="2046"/>
    <s v="One Year"/>
    <x v="1"/>
    <s v="No"/>
    <m/>
    <m/>
    <m/>
    <x v="1"/>
  </r>
  <r>
    <s v="CUST_153"/>
    <n v="27"/>
    <n v="99"/>
    <n v="2673"/>
    <s v="Month-to-Month"/>
    <x v="1"/>
    <s v="No"/>
    <m/>
    <m/>
    <m/>
    <x v="1"/>
  </r>
  <r>
    <s v="CUST_154"/>
    <n v="35"/>
    <n v="47"/>
    <n v="1645"/>
    <s v="Two Year"/>
    <x v="0"/>
    <s v="No"/>
    <m/>
    <m/>
    <m/>
    <x v="1"/>
  </r>
  <r>
    <s v="CUST_155"/>
    <n v="1"/>
    <n v="92"/>
    <n v="92"/>
    <s v="One Year"/>
    <x v="2"/>
    <s v="No"/>
    <m/>
    <m/>
    <m/>
    <x v="1"/>
  </r>
  <r>
    <s v="CUST_156"/>
    <n v="35"/>
    <n v="99"/>
    <n v="3465"/>
    <s v="Month-to-Month"/>
    <x v="1"/>
    <s v="No"/>
    <m/>
    <m/>
    <m/>
    <x v="1"/>
  </r>
  <r>
    <s v="CUST_157"/>
    <n v="37"/>
    <n v="44"/>
    <n v="1628"/>
    <s v="Month-to-Month"/>
    <x v="2"/>
    <s v="No"/>
    <m/>
    <m/>
    <m/>
    <x v="1"/>
  </r>
  <r>
    <s v="CUST_158"/>
    <n v="47"/>
    <n v="107"/>
    <n v="5029"/>
    <s v="One Year"/>
    <x v="2"/>
    <s v="No"/>
    <m/>
    <m/>
    <m/>
    <x v="1"/>
  </r>
  <r>
    <s v="CUST_159"/>
    <n v="14"/>
    <n v="45"/>
    <n v="630"/>
    <s v="Month-to-Month"/>
    <x v="1"/>
    <s v="No"/>
    <m/>
    <m/>
    <m/>
    <x v="1"/>
  </r>
  <r>
    <s v="CUST_160"/>
    <n v="3"/>
    <n v="86"/>
    <n v="258"/>
    <s v="Month-to-Month"/>
    <x v="2"/>
    <s v="Yes"/>
    <m/>
    <m/>
    <m/>
    <x v="1"/>
  </r>
  <r>
    <s v="CUST_161"/>
    <n v="1"/>
    <n v="94"/>
    <n v="94"/>
    <s v="One Year"/>
    <x v="1"/>
    <s v="No"/>
    <m/>
    <m/>
    <m/>
    <x v="1"/>
  </r>
  <r>
    <s v="CUST_162"/>
    <n v="5"/>
    <n v="79"/>
    <n v="395"/>
    <s v="Month-to-Month"/>
    <x v="2"/>
    <s v="Yes"/>
    <m/>
    <m/>
    <m/>
    <x v="1"/>
  </r>
  <r>
    <s v="CUST_163"/>
    <n v="26"/>
    <n v="91"/>
    <n v="2366"/>
    <s v="One Year"/>
    <x v="1"/>
    <s v="No"/>
    <m/>
    <m/>
    <m/>
    <x v="1"/>
  </r>
  <r>
    <s v="CUST_164"/>
    <n v="55"/>
    <n v="55"/>
    <n v="3025"/>
    <s v="Month-to-Month"/>
    <x v="0"/>
    <s v="No"/>
    <m/>
    <m/>
    <m/>
    <x v="1"/>
  </r>
  <r>
    <s v="CUST_165"/>
    <n v="14"/>
    <n v="52"/>
    <n v="728"/>
    <s v="One Year"/>
    <x v="1"/>
    <s v="No"/>
    <m/>
    <m/>
    <m/>
    <x v="1"/>
  </r>
  <r>
    <s v="CUST_166"/>
    <n v="39"/>
    <n v="69"/>
    <n v="2691"/>
    <s v="Month-to-Month"/>
    <x v="1"/>
    <s v="No"/>
    <m/>
    <m/>
    <m/>
    <x v="1"/>
  </r>
  <r>
    <s v="CUST_167"/>
    <n v="27"/>
    <n v="58"/>
    <n v="1566"/>
    <s v="One Year"/>
    <x v="1"/>
    <s v="No"/>
    <m/>
    <m/>
    <m/>
    <x v="1"/>
  </r>
  <r>
    <s v="CUST_168"/>
    <n v="9"/>
    <n v="56"/>
    <n v="504"/>
    <s v="Month-to-Month"/>
    <x v="1"/>
    <s v="Yes"/>
    <m/>
    <m/>
    <m/>
    <x v="1"/>
  </r>
  <r>
    <s v="CUST_169"/>
    <n v="15"/>
    <n v="102"/>
    <n v="1530"/>
    <s v="One Year"/>
    <x v="2"/>
    <s v="No"/>
    <m/>
    <m/>
    <m/>
    <x v="1"/>
  </r>
  <r>
    <s v="CUST_170"/>
    <n v="15"/>
    <n v="58"/>
    <n v="870"/>
    <s v="Month-to-Month"/>
    <x v="0"/>
    <s v="No"/>
    <m/>
    <m/>
    <m/>
    <x v="1"/>
  </r>
  <r>
    <s v="CUST_171"/>
    <n v="26"/>
    <n v="97"/>
    <n v="2522"/>
    <s v="Two Year"/>
    <x v="1"/>
    <s v="No"/>
    <m/>
    <m/>
    <m/>
    <x v="1"/>
  </r>
  <r>
    <s v="CUST_172"/>
    <n v="42"/>
    <n v="94"/>
    <n v="3948"/>
    <s v="One Year"/>
    <x v="2"/>
    <s v="No"/>
    <m/>
    <m/>
    <m/>
    <x v="1"/>
  </r>
  <r>
    <s v="CUST_173"/>
    <n v="13"/>
    <n v="101"/>
    <n v="1313"/>
    <s v="Two Year"/>
    <x v="0"/>
    <s v="No"/>
    <m/>
    <m/>
    <m/>
    <x v="1"/>
  </r>
  <r>
    <s v="CUST_174"/>
    <n v="51"/>
    <n v="62"/>
    <n v="3162"/>
    <s v="One Year"/>
    <x v="0"/>
    <s v="No"/>
    <m/>
    <m/>
    <m/>
    <x v="1"/>
  </r>
  <r>
    <s v="CUST_175"/>
    <n v="32"/>
    <n v="48"/>
    <n v="1536"/>
    <s v="Month-to-Month"/>
    <x v="0"/>
    <s v="No"/>
    <m/>
    <m/>
    <m/>
    <x v="1"/>
  </r>
  <r>
    <s v="CUST_176"/>
    <n v="39"/>
    <n v="51"/>
    <n v="1989"/>
    <s v="Two Year"/>
    <x v="0"/>
    <s v="No"/>
    <m/>
    <m/>
    <m/>
    <x v="1"/>
  </r>
  <r>
    <s v="CUST_177"/>
    <n v="49"/>
    <n v="40"/>
    <n v="1960"/>
    <s v="Month-to-Month"/>
    <x v="1"/>
    <s v="No"/>
    <m/>
    <m/>
    <m/>
    <x v="1"/>
  </r>
  <r>
    <s v="CUST_178"/>
    <n v="52"/>
    <n v="97"/>
    <n v="5044"/>
    <s v="Month-to-Month"/>
    <x v="1"/>
    <s v="No"/>
    <m/>
    <m/>
    <m/>
    <x v="1"/>
  </r>
  <r>
    <s v="CUST_179"/>
    <n v="32"/>
    <n v="40"/>
    <n v="1280"/>
    <s v="Month-to-Month"/>
    <x v="2"/>
    <s v="No"/>
    <m/>
    <m/>
    <m/>
    <x v="1"/>
  </r>
  <r>
    <s v="CUST_180"/>
    <n v="4"/>
    <n v="73"/>
    <n v="292"/>
    <s v="One Year"/>
    <x v="2"/>
    <s v="No"/>
    <m/>
    <m/>
    <m/>
    <x v="1"/>
  </r>
  <r>
    <s v="CUST_181"/>
    <n v="30"/>
    <n v="87"/>
    <n v="2610"/>
    <s v="One Year"/>
    <x v="2"/>
    <s v="No"/>
    <m/>
    <m/>
    <m/>
    <x v="1"/>
  </r>
  <r>
    <s v="CUST_182"/>
    <n v="37"/>
    <n v="40"/>
    <n v="1480"/>
    <s v="Month-to-Month"/>
    <x v="0"/>
    <s v="No"/>
    <m/>
    <m/>
    <m/>
    <x v="1"/>
  </r>
  <r>
    <s v="CUST_183"/>
    <n v="23"/>
    <n v="55"/>
    <n v="1265"/>
    <s v="Two Year"/>
    <x v="0"/>
    <s v="No"/>
    <m/>
    <m/>
    <m/>
    <x v="1"/>
  </r>
  <r>
    <s v="CUST_184"/>
    <n v="39"/>
    <n v="100"/>
    <n v="3900"/>
    <s v="Month-to-Month"/>
    <x v="1"/>
    <s v="No"/>
    <m/>
    <m/>
    <m/>
    <x v="1"/>
  </r>
  <r>
    <s v="CUST_185"/>
    <n v="45"/>
    <n v="103"/>
    <n v="4635"/>
    <s v="Month-to-Month"/>
    <x v="0"/>
    <s v="No"/>
    <m/>
    <m/>
    <m/>
    <x v="1"/>
  </r>
  <r>
    <s v="CUST_186"/>
    <n v="15"/>
    <n v="102"/>
    <n v="1530"/>
    <s v="Month-to-Month"/>
    <x v="0"/>
    <s v="No"/>
    <m/>
    <m/>
    <m/>
    <x v="1"/>
  </r>
  <r>
    <s v="CUST_187"/>
    <n v="43"/>
    <n v="108"/>
    <n v="4644"/>
    <s v="Month-to-Month"/>
    <x v="0"/>
    <s v="No"/>
    <m/>
    <m/>
    <m/>
    <x v="1"/>
  </r>
  <r>
    <s v="CUST_188"/>
    <n v="29"/>
    <n v="61"/>
    <n v="1769"/>
    <s v="Month-to-Month"/>
    <x v="2"/>
    <s v="No"/>
    <m/>
    <m/>
    <m/>
    <x v="1"/>
  </r>
  <r>
    <s v="CUST_189"/>
    <n v="36"/>
    <n v="106"/>
    <n v="3816"/>
    <s v="One Year"/>
    <x v="2"/>
    <s v="No"/>
    <m/>
    <m/>
    <m/>
    <x v="1"/>
  </r>
  <r>
    <s v="CUST_190"/>
    <n v="13"/>
    <n v="115"/>
    <n v="1495"/>
    <s v="One Year"/>
    <x v="1"/>
    <s v="No"/>
    <m/>
    <m/>
    <m/>
    <x v="1"/>
  </r>
  <r>
    <s v="CUST_191"/>
    <n v="32"/>
    <n v="65"/>
    <n v="2080"/>
    <s v="Month-to-Month"/>
    <x v="0"/>
    <s v="No"/>
    <m/>
    <m/>
    <m/>
    <x v="1"/>
  </r>
  <r>
    <s v="CUST_192"/>
    <n v="7"/>
    <n v="55"/>
    <n v="385"/>
    <s v="Month-to-Month"/>
    <x v="0"/>
    <s v="Yes"/>
    <m/>
    <m/>
    <m/>
    <x v="1"/>
  </r>
  <r>
    <s v="CUST_193"/>
    <n v="59"/>
    <n v="90"/>
    <n v="5310"/>
    <s v="Month-to-Month"/>
    <x v="1"/>
    <s v="No"/>
    <m/>
    <m/>
    <m/>
    <x v="1"/>
  </r>
  <r>
    <s v="CUST_194"/>
    <n v="51"/>
    <n v="96"/>
    <n v="4896"/>
    <s v="Two Year"/>
    <x v="0"/>
    <s v="No"/>
    <m/>
    <m/>
    <m/>
    <x v="1"/>
  </r>
  <r>
    <s v="CUST_195"/>
    <n v="22"/>
    <n v="68"/>
    <n v="1496"/>
    <s v="Month-to-Month"/>
    <x v="0"/>
    <s v="No"/>
    <m/>
    <m/>
    <m/>
    <x v="1"/>
  </r>
  <r>
    <s v="CUST_196"/>
    <n v="28"/>
    <n v="117"/>
    <n v="3276"/>
    <s v="One Year"/>
    <x v="2"/>
    <s v="No"/>
    <m/>
    <m/>
    <m/>
    <x v="1"/>
  </r>
  <r>
    <s v="CUST_197"/>
    <n v="2"/>
    <n v="108"/>
    <n v="216"/>
    <s v="Two Year"/>
    <x v="1"/>
    <s v="No"/>
    <m/>
    <m/>
    <m/>
    <x v="1"/>
  </r>
  <r>
    <s v="CUST_198"/>
    <n v="42"/>
    <n v="86"/>
    <n v="3612"/>
    <s v="One Year"/>
    <x v="1"/>
    <s v="No"/>
    <m/>
    <m/>
    <m/>
    <x v="1"/>
  </r>
  <r>
    <s v="CUST_199"/>
    <n v="45"/>
    <n v="101"/>
    <n v="4545"/>
    <s v="Two Year"/>
    <x v="1"/>
    <s v="No"/>
    <m/>
    <m/>
    <m/>
    <x v="1"/>
  </r>
  <r>
    <s v="CUST_200"/>
    <n v="57"/>
    <n v="108"/>
    <n v="6156"/>
    <s v="Month-to-Month"/>
    <x v="1"/>
    <s v="No"/>
    <m/>
    <m/>
    <m/>
    <x v="1"/>
  </r>
  <r>
    <s v="CUST_201"/>
    <n v="53"/>
    <n v="115"/>
    <n v="6095"/>
    <s v="One Year"/>
    <x v="2"/>
    <s v="No"/>
    <m/>
    <m/>
    <m/>
    <x v="1"/>
  </r>
  <r>
    <s v="CUST_202"/>
    <n v="6"/>
    <n v="55"/>
    <n v="330"/>
    <s v="One Year"/>
    <x v="2"/>
    <s v="No"/>
    <m/>
    <m/>
    <m/>
    <x v="1"/>
  </r>
  <r>
    <s v="CUST_203"/>
    <n v="28"/>
    <n v="87"/>
    <n v="2436"/>
    <s v="One Year"/>
    <x v="0"/>
    <s v="No"/>
    <m/>
    <m/>
    <m/>
    <x v="1"/>
  </r>
  <r>
    <s v="CUST_204"/>
    <n v="28"/>
    <n v="78"/>
    <n v="2184"/>
    <s v="Month-to-Month"/>
    <x v="0"/>
    <s v="No"/>
    <m/>
    <m/>
    <m/>
    <x v="1"/>
  </r>
  <r>
    <s v="CUST_205"/>
    <n v="44"/>
    <n v="72"/>
    <n v="3168"/>
    <s v="Month-to-Month"/>
    <x v="0"/>
    <s v="No"/>
    <m/>
    <m/>
    <m/>
    <x v="1"/>
  </r>
  <r>
    <s v="CUST_206"/>
    <n v="44"/>
    <n v="62"/>
    <n v="2728"/>
    <s v="Month-to-Month"/>
    <x v="0"/>
    <s v="No"/>
    <m/>
    <m/>
    <m/>
    <x v="1"/>
  </r>
  <r>
    <s v="CUST_207"/>
    <n v="20"/>
    <n v="49"/>
    <n v="980"/>
    <s v="One Year"/>
    <x v="2"/>
    <s v="No"/>
    <m/>
    <m/>
    <m/>
    <x v="1"/>
  </r>
  <r>
    <s v="CUST_208"/>
    <n v="30"/>
    <n v="108"/>
    <n v="3240"/>
    <s v="Two Year"/>
    <x v="1"/>
    <s v="No"/>
    <m/>
    <m/>
    <m/>
    <x v="1"/>
  </r>
  <r>
    <s v="CUST_209"/>
    <n v="11"/>
    <n v="73"/>
    <n v="803"/>
    <s v="One Year"/>
    <x v="2"/>
    <s v="No"/>
    <m/>
    <m/>
    <m/>
    <x v="1"/>
  </r>
  <r>
    <s v="CUST_210"/>
    <n v="58"/>
    <n v="91"/>
    <n v="5278"/>
    <s v="Month-to-Month"/>
    <x v="0"/>
    <s v="No"/>
    <m/>
    <m/>
    <m/>
    <x v="1"/>
  </r>
  <r>
    <s v="CUST_211"/>
    <n v="55"/>
    <n v="49"/>
    <n v="2695"/>
    <s v="Two Year"/>
    <x v="2"/>
    <s v="No"/>
    <m/>
    <m/>
    <m/>
    <x v="1"/>
  </r>
  <r>
    <s v="CUST_212"/>
    <n v="28"/>
    <n v="58"/>
    <n v="1624"/>
    <s v="Month-to-Month"/>
    <x v="1"/>
    <s v="No"/>
    <m/>
    <m/>
    <m/>
    <x v="1"/>
  </r>
  <r>
    <s v="CUST_213"/>
    <n v="25"/>
    <n v="97"/>
    <n v="2425"/>
    <s v="Month-to-Month"/>
    <x v="1"/>
    <s v="No"/>
    <m/>
    <m/>
    <m/>
    <x v="1"/>
  </r>
  <r>
    <s v="CUST_214"/>
    <n v="39"/>
    <n v="40"/>
    <n v="1560"/>
    <s v="Month-to-Month"/>
    <x v="2"/>
    <s v="No"/>
    <m/>
    <m/>
    <m/>
    <x v="1"/>
  </r>
  <r>
    <s v="CUST_215"/>
    <n v="33"/>
    <n v="108"/>
    <n v="3564"/>
    <s v="One Year"/>
    <x v="2"/>
    <s v="No"/>
    <m/>
    <m/>
    <m/>
    <x v="1"/>
  </r>
  <r>
    <s v="CUST_216"/>
    <n v="1"/>
    <n v="43"/>
    <n v="43"/>
    <s v="Month-to-Month"/>
    <x v="2"/>
    <s v="Yes"/>
    <m/>
    <m/>
    <m/>
    <x v="1"/>
  </r>
  <r>
    <s v="CUST_217"/>
    <n v="57"/>
    <n v="55"/>
    <n v="3135"/>
    <s v="One Year"/>
    <x v="0"/>
    <s v="No"/>
    <m/>
    <m/>
    <m/>
    <x v="1"/>
  </r>
  <r>
    <s v="CUST_218"/>
    <n v="27"/>
    <n v="63"/>
    <n v="1701"/>
    <s v="Two Year"/>
    <x v="2"/>
    <s v="No"/>
    <m/>
    <m/>
    <m/>
    <x v="1"/>
  </r>
  <r>
    <s v="CUST_219"/>
    <n v="57"/>
    <n v="119"/>
    <n v="6783"/>
    <s v="Month-to-Month"/>
    <x v="2"/>
    <s v="No"/>
    <m/>
    <m/>
    <m/>
    <x v="1"/>
  </r>
  <r>
    <s v="CUST_220"/>
    <n v="52"/>
    <n v="41"/>
    <n v="2132"/>
    <s v="One Year"/>
    <x v="2"/>
    <s v="No"/>
    <m/>
    <m/>
    <m/>
    <x v="1"/>
  </r>
  <r>
    <s v="CUST_221"/>
    <n v="13"/>
    <n v="71"/>
    <n v="923"/>
    <s v="Month-to-Month"/>
    <x v="1"/>
    <s v="No"/>
    <m/>
    <m/>
    <m/>
    <x v="1"/>
  </r>
  <r>
    <s v="CUST_222"/>
    <n v="41"/>
    <n v="63"/>
    <n v="2583"/>
    <s v="Month-to-Month"/>
    <x v="1"/>
    <s v="No"/>
    <m/>
    <m/>
    <m/>
    <x v="1"/>
  </r>
  <r>
    <s v="CUST_223"/>
    <n v="3"/>
    <n v="51"/>
    <n v="153"/>
    <s v="Month-to-Month"/>
    <x v="0"/>
    <s v="Yes"/>
    <m/>
    <m/>
    <m/>
    <x v="1"/>
  </r>
  <r>
    <s v="CUST_224"/>
    <n v="39"/>
    <n v="89"/>
    <n v="3471"/>
    <s v="Month-to-Month"/>
    <x v="0"/>
    <s v="No"/>
    <m/>
    <m/>
    <m/>
    <x v="1"/>
  </r>
  <r>
    <s v="CUST_225"/>
    <n v="6"/>
    <n v="74"/>
    <n v="444"/>
    <s v="One Year"/>
    <x v="1"/>
    <s v="No"/>
    <m/>
    <m/>
    <m/>
    <x v="1"/>
  </r>
  <r>
    <s v="CUST_226"/>
    <n v="8"/>
    <n v="72"/>
    <n v="576"/>
    <s v="Month-to-Month"/>
    <x v="1"/>
    <s v="Yes"/>
    <m/>
    <m/>
    <m/>
    <x v="1"/>
  </r>
  <r>
    <s v="CUST_227"/>
    <n v="27"/>
    <n v="72"/>
    <n v="1944"/>
    <s v="One Year"/>
    <x v="1"/>
    <s v="No"/>
    <m/>
    <m/>
    <m/>
    <x v="1"/>
  </r>
  <r>
    <s v="CUST_228"/>
    <n v="9"/>
    <n v="100"/>
    <n v="900"/>
    <s v="One Year"/>
    <x v="2"/>
    <s v="No"/>
    <m/>
    <m/>
    <m/>
    <x v="1"/>
  </r>
  <r>
    <s v="CUST_229"/>
    <n v="37"/>
    <n v="90"/>
    <n v="3330"/>
    <s v="One Year"/>
    <x v="2"/>
    <s v="No"/>
    <m/>
    <m/>
    <m/>
    <x v="1"/>
  </r>
  <r>
    <s v="CUST_230"/>
    <n v="33"/>
    <n v="82"/>
    <n v="2706"/>
    <s v="One Year"/>
    <x v="1"/>
    <s v="No"/>
    <m/>
    <m/>
    <m/>
    <x v="1"/>
  </r>
  <r>
    <s v="CUST_231"/>
    <n v="51"/>
    <n v="51"/>
    <n v="2601"/>
    <s v="One Year"/>
    <x v="2"/>
    <s v="No"/>
    <m/>
    <m/>
    <m/>
    <x v="1"/>
  </r>
  <r>
    <s v="CUST_232"/>
    <n v="42"/>
    <n v="106"/>
    <n v="4452"/>
    <s v="Month-to-Month"/>
    <x v="2"/>
    <s v="No"/>
    <m/>
    <m/>
    <m/>
    <x v="1"/>
  </r>
  <r>
    <s v="CUST_233"/>
    <n v="44"/>
    <n v="104"/>
    <n v="4576"/>
    <s v="Month-to-Month"/>
    <x v="0"/>
    <s v="No"/>
    <m/>
    <m/>
    <m/>
    <x v="1"/>
  </r>
  <r>
    <s v="CUST_234"/>
    <n v="24"/>
    <n v="72"/>
    <n v="1728"/>
    <s v="Two Year"/>
    <x v="1"/>
    <s v="No"/>
    <m/>
    <m/>
    <m/>
    <x v="1"/>
  </r>
  <r>
    <s v="CUST_235"/>
    <n v="15"/>
    <n v="79"/>
    <n v="1185"/>
    <s v="One Year"/>
    <x v="1"/>
    <s v="No"/>
    <m/>
    <m/>
    <m/>
    <x v="1"/>
  </r>
  <r>
    <s v="CUST_236"/>
    <n v="59"/>
    <n v="113"/>
    <n v="6667"/>
    <s v="Month-to-Month"/>
    <x v="2"/>
    <s v="No"/>
    <m/>
    <m/>
    <m/>
    <x v="1"/>
  </r>
  <r>
    <s v="CUST_237"/>
    <n v="54"/>
    <n v="82"/>
    <n v="4428"/>
    <s v="Month-to-Month"/>
    <x v="1"/>
    <s v="No"/>
    <m/>
    <m/>
    <m/>
    <x v="1"/>
  </r>
  <r>
    <s v="CUST_238"/>
    <n v="32"/>
    <n v="83"/>
    <n v="2656"/>
    <s v="Month-to-Month"/>
    <x v="0"/>
    <s v="No"/>
    <m/>
    <m/>
    <m/>
    <x v="1"/>
  </r>
  <r>
    <s v="CUST_239"/>
    <n v="32"/>
    <n v="68"/>
    <n v="2176"/>
    <s v="Two Year"/>
    <x v="0"/>
    <s v="No"/>
    <m/>
    <m/>
    <m/>
    <x v="1"/>
  </r>
  <r>
    <s v="CUST_240"/>
    <n v="24"/>
    <n v="52"/>
    <n v="1248"/>
    <s v="Month-to-Month"/>
    <x v="0"/>
    <s v="No"/>
    <m/>
    <m/>
    <m/>
    <x v="1"/>
  </r>
  <r>
    <s v="CUST_241"/>
    <n v="41"/>
    <n v="51"/>
    <n v="2091"/>
    <s v="Month-to-Month"/>
    <x v="1"/>
    <s v="No"/>
    <m/>
    <m/>
    <m/>
    <x v="1"/>
  </r>
  <r>
    <s v="CUST_242"/>
    <n v="52"/>
    <n v="85"/>
    <n v="4420"/>
    <s v="Month-to-Month"/>
    <x v="1"/>
    <s v="No"/>
    <m/>
    <m/>
    <m/>
    <x v="1"/>
  </r>
  <r>
    <s v="CUST_243"/>
    <n v="49"/>
    <n v="41"/>
    <n v="2009"/>
    <s v="Month-to-Month"/>
    <x v="1"/>
    <s v="No"/>
    <m/>
    <m/>
    <m/>
    <x v="1"/>
  </r>
  <r>
    <s v="CUST_244"/>
    <n v="49"/>
    <n v="74"/>
    <n v="3626"/>
    <s v="Two Year"/>
    <x v="1"/>
    <s v="No"/>
    <m/>
    <m/>
    <m/>
    <x v="1"/>
  </r>
  <r>
    <s v="CUST_245"/>
    <n v="58"/>
    <n v="47"/>
    <n v="2726"/>
    <s v="Month-to-Month"/>
    <x v="1"/>
    <s v="No"/>
    <m/>
    <m/>
    <m/>
    <x v="1"/>
  </r>
  <r>
    <s v="CUST_246"/>
    <n v="52"/>
    <n v="65"/>
    <n v="3380"/>
    <s v="Two Year"/>
    <x v="0"/>
    <s v="No"/>
    <m/>
    <m/>
    <m/>
    <x v="1"/>
  </r>
  <r>
    <s v="CUST_247"/>
    <n v="12"/>
    <n v="113"/>
    <n v="1356"/>
    <s v="Month-to-Month"/>
    <x v="2"/>
    <s v="No"/>
    <m/>
    <m/>
    <m/>
    <x v="1"/>
  </r>
  <r>
    <s v="CUST_248"/>
    <n v="39"/>
    <n v="73"/>
    <n v="2847"/>
    <s v="Two Year"/>
    <x v="0"/>
    <s v="No"/>
    <m/>
    <m/>
    <m/>
    <x v="1"/>
  </r>
  <r>
    <s v="CUST_249"/>
    <n v="2"/>
    <n v="46"/>
    <n v="92"/>
    <s v="Month-to-Month"/>
    <x v="1"/>
    <s v="Yes"/>
    <m/>
    <m/>
    <m/>
    <x v="1"/>
  </r>
  <r>
    <s v="CUST_250"/>
    <n v="3"/>
    <n v="107"/>
    <n v="321"/>
    <s v="Month-to-Month"/>
    <x v="0"/>
    <s v="Yes"/>
    <m/>
    <m/>
    <m/>
    <x v="1"/>
  </r>
  <r>
    <s v="CUST_251"/>
    <n v="49"/>
    <n v="97"/>
    <n v="4753"/>
    <s v="One Year"/>
    <x v="1"/>
    <s v="No"/>
    <m/>
    <m/>
    <m/>
    <x v="1"/>
  </r>
  <r>
    <s v="CUST_252"/>
    <n v="37"/>
    <n v="114"/>
    <n v="4218"/>
    <s v="Two Year"/>
    <x v="1"/>
    <s v="No"/>
    <m/>
    <m/>
    <m/>
    <x v="1"/>
  </r>
  <r>
    <s v="CUST_253"/>
    <n v="49"/>
    <n v="68"/>
    <n v="3332"/>
    <s v="Two Year"/>
    <x v="0"/>
    <s v="No"/>
    <m/>
    <m/>
    <m/>
    <x v="1"/>
  </r>
  <r>
    <s v="CUST_254"/>
    <n v="56"/>
    <n v="75"/>
    <n v="4200"/>
    <s v="One Year"/>
    <x v="1"/>
    <s v="No"/>
    <m/>
    <m/>
    <m/>
    <x v="1"/>
  </r>
  <r>
    <s v="CUST_255"/>
    <n v="17"/>
    <n v="60"/>
    <n v="1020"/>
    <s v="Two Year"/>
    <x v="2"/>
    <s v="No"/>
    <m/>
    <m/>
    <m/>
    <x v="1"/>
  </r>
  <r>
    <s v="CUST_256"/>
    <n v="59"/>
    <n v="75"/>
    <n v="4425"/>
    <s v="Month-to-Month"/>
    <x v="1"/>
    <s v="No"/>
    <m/>
    <m/>
    <m/>
    <x v="1"/>
  </r>
  <r>
    <s v="CUST_257"/>
    <n v="49"/>
    <n v="49"/>
    <n v="2401"/>
    <s v="Two Year"/>
    <x v="2"/>
    <s v="No"/>
    <m/>
    <m/>
    <m/>
    <x v="1"/>
  </r>
  <r>
    <s v="CUST_258"/>
    <n v="2"/>
    <n v="112"/>
    <n v="224"/>
    <s v="Month-to-Month"/>
    <x v="2"/>
    <s v="Yes"/>
    <m/>
    <m/>
    <m/>
    <x v="1"/>
  </r>
  <r>
    <s v="CUST_259"/>
    <n v="2"/>
    <n v="63"/>
    <n v="126"/>
    <s v="One Year"/>
    <x v="1"/>
    <s v="No"/>
    <m/>
    <m/>
    <m/>
    <x v="1"/>
  </r>
  <r>
    <s v="CUST_260"/>
    <n v="28"/>
    <n v="103"/>
    <n v="2884"/>
    <s v="Two Year"/>
    <x v="0"/>
    <s v="No"/>
    <m/>
    <m/>
    <m/>
    <x v="1"/>
  </r>
  <r>
    <s v="CUST_261"/>
    <n v="54"/>
    <n v="88"/>
    <n v="4752"/>
    <s v="One Year"/>
    <x v="2"/>
    <s v="No"/>
    <m/>
    <m/>
    <m/>
    <x v="1"/>
  </r>
  <r>
    <s v="CUST_262"/>
    <n v="23"/>
    <n v="75"/>
    <n v="1725"/>
    <s v="One Year"/>
    <x v="0"/>
    <s v="No"/>
    <m/>
    <m/>
    <m/>
    <x v="1"/>
  </r>
  <r>
    <s v="CUST_263"/>
    <n v="37"/>
    <n v="63"/>
    <n v="2331"/>
    <s v="Month-to-Month"/>
    <x v="2"/>
    <s v="No"/>
    <m/>
    <m/>
    <m/>
    <x v="1"/>
  </r>
  <r>
    <s v="CUST_264"/>
    <n v="32"/>
    <n v="62"/>
    <n v="1984"/>
    <s v="Two Year"/>
    <x v="1"/>
    <s v="No"/>
    <m/>
    <m/>
    <m/>
    <x v="1"/>
  </r>
  <r>
    <s v="CUST_265"/>
    <n v="33"/>
    <n v="101"/>
    <n v="3333"/>
    <s v="Month-to-Month"/>
    <x v="1"/>
    <s v="No"/>
    <m/>
    <m/>
    <m/>
    <x v="1"/>
  </r>
  <r>
    <s v="CUST_266"/>
    <n v="1"/>
    <n v="76"/>
    <n v="76"/>
    <s v="Two Year"/>
    <x v="2"/>
    <s v="No"/>
    <m/>
    <m/>
    <m/>
    <x v="1"/>
  </r>
  <r>
    <s v="CUST_267"/>
    <n v="19"/>
    <n v="51"/>
    <n v="969"/>
    <s v="One Year"/>
    <x v="1"/>
    <s v="No"/>
    <m/>
    <m/>
    <m/>
    <x v="1"/>
  </r>
  <r>
    <s v="CUST_268"/>
    <n v="2"/>
    <n v="94"/>
    <n v="188"/>
    <s v="Month-to-Month"/>
    <x v="2"/>
    <s v="Yes"/>
    <m/>
    <m/>
    <m/>
    <x v="1"/>
  </r>
  <r>
    <s v="CUST_269"/>
    <n v="53"/>
    <n v="52"/>
    <n v="2756"/>
    <s v="One Year"/>
    <x v="1"/>
    <s v="No"/>
    <m/>
    <m/>
    <m/>
    <x v="1"/>
  </r>
  <r>
    <s v="CUST_270"/>
    <n v="44"/>
    <n v="62"/>
    <n v="2728"/>
    <s v="One Year"/>
    <x v="0"/>
    <s v="No"/>
    <m/>
    <m/>
    <m/>
    <x v="1"/>
  </r>
  <r>
    <s v="CUST_271"/>
    <n v="26"/>
    <n v="69"/>
    <n v="1794"/>
    <s v="One Year"/>
    <x v="1"/>
    <s v="No"/>
    <m/>
    <m/>
    <m/>
    <x v="1"/>
  </r>
  <r>
    <s v="CUST_272"/>
    <n v="32"/>
    <n v="56"/>
    <n v="1792"/>
    <s v="One Year"/>
    <x v="0"/>
    <s v="No"/>
    <m/>
    <m/>
    <m/>
    <x v="1"/>
  </r>
  <r>
    <s v="CUST_273"/>
    <n v="6"/>
    <n v="101"/>
    <n v="606"/>
    <s v="Month-to-Month"/>
    <x v="1"/>
    <s v="Yes"/>
    <m/>
    <m/>
    <m/>
    <x v="1"/>
  </r>
  <r>
    <s v="CUST_274"/>
    <n v="32"/>
    <n v="52"/>
    <n v="1664"/>
    <s v="One Year"/>
    <x v="0"/>
    <s v="No"/>
    <m/>
    <m/>
    <m/>
    <x v="1"/>
  </r>
  <r>
    <s v="CUST_275"/>
    <n v="55"/>
    <n v="98"/>
    <n v="5390"/>
    <s v="Two Year"/>
    <x v="1"/>
    <s v="No"/>
    <m/>
    <m/>
    <m/>
    <x v="1"/>
  </r>
  <r>
    <s v="CUST_276"/>
    <n v="4"/>
    <n v="58"/>
    <n v="232"/>
    <s v="Month-to-Month"/>
    <x v="0"/>
    <s v="Yes"/>
    <m/>
    <m/>
    <m/>
    <x v="1"/>
  </r>
  <r>
    <s v="CUST_277"/>
    <n v="55"/>
    <n v="88"/>
    <n v="4840"/>
    <s v="One Year"/>
    <x v="2"/>
    <s v="No"/>
    <m/>
    <m/>
    <m/>
    <x v="1"/>
  </r>
  <r>
    <s v="CUST_278"/>
    <n v="11"/>
    <n v="51"/>
    <n v="561"/>
    <s v="Month-to-Month"/>
    <x v="2"/>
    <s v="Yes"/>
    <m/>
    <m/>
    <m/>
    <x v="1"/>
  </r>
  <r>
    <s v="CUST_279"/>
    <n v="56"/>
    <n v="100"/>
    <n v="5600"/>
    <s v="Month-to-Month"/>
    <x v="0"/>
    <s v="No"/>
    <m/>
    <m/>
    <m/>
    <x v="1"/>
  </r>
  <r>
    <s v="CUST_280"/>
    <n v="59"/>
    <n v="58"/>
    <n v="3422"/>
    <s v="One Year"/>
    <x v="1"/>
    <s v="No"/>
    <m/>
    <m/>
    <m/>
    <x v="1"/>
  </r>
  <r>
    <s v="CUST_281"/>
    <n v="17"/>
    <n v="115"/>
    <n v="1955"/>
    <s v="One Year"/>
    <x v="0"/>
    <s v="No"/>
    <m/>
    <m/>
    <m/>
    <x v="1"/>
  </r>
  <r>
    <s v="CUST_282"/>
    <n v="38"/>
    <n v="48"/>
    <n v="1824"/>
    <s v="Month-to-Month"/>
    <x v="1"/>
    <s v="No"/>
    <m/>
    <m/>
    <m/>
    <x v="1"/>
  </r>
  <r>
    <s v="CUST_283"/>
    <n v="24"/>
    <n v="110"/>
    <n v="2640"/>
    <s v="One Year"/>
    <x v="2"/>
    <s v="No"/>
    <m/>
    <m/>
    <m/>
    <x v="1"/>
  </r>
  <r>
    <s v="CUST_284"/>
    <n v="5"/>
    <n v="67"/>
    <n v="335"/>
    <s v="Month-to-Month"/>
    <x v="1"/>
    <s v="Yes"/>
    <m/>
    <m/>
    <m/>
    <x v="1"/>
  </r>
  <r>
    <s v="CUST_285"/>
    <n v="52"/>
    <n v="117"/>
    <n v="6084"/>
    <s v="Month-to-Month"/>
    <x v="2"/>
    <s v="No"/>
    <m/>
    <m/>
    <m/>
    <x v="1"/>
  </r>
  <r>
    <s v="CUST_286"/>
    <n v="34"/>
    <n v="91"/>
    <n v="3094"/>
    <s v="Month-to-Month"/>
    <x v="1"/>
    <s v="No"/>
    <m/>
    <m/>
    <m/>
    <x v="1"/>
  </r>
  <r>
    <s v="CUST_287"/>
    <n v="6"/>
    <n v="55"/>
    <n v="330"/>
    <s v="Month-to-Month"/>
    <x v="1"/>
    <s v="Yes"/>
    <m/>
    <m/>
    <m/>
    <x v="1"/>
  </r>
  <r>
    <s v="CUST_288"/>
    <n v="22"/>
    <n v="108"/>
    <n v="2376"/>
    <s v="Month-to-Month"/>
    <x v="1"/>
    <s v="No"/>
    <m/>
    <m/>
    <m/>
    <x v="1"/>
  </r>
  <r>
    <s v="CUST_289"/>
    <n v="11"/>
    <n v="51"/>
    <n v="561"/>
    <s v="One Year"/>
    <x v="0"/>
    <s v="No"/>
    <m/>
    <m/>
    <m/>
    <x v="1"/>
  </r>
  <r>
    <s v="CUST_290"/>
    <n v="48"/>
    <n v="64"/>
    <n v="3072"/>
    <s v="One Year"/>
    <x v="0"/>
    <s v="No"/>
    <m/>
    <m/>
    <m/>
    <x v="1"/>
  </r>
  <r>
    <s v="CUST_291"/>
    <n v="16"/>
    <n v="91"/>
    <n v="1456"/>
    <s v="Month-to-Month"/>
    <x v="2"/>
    <s v="No"/>
    <m/>
    <m/>
    <m/>
    <x v="1"/>
  </r>
  <r>
    <s v="CUST_292"/>
    <n v="33"/>
    <n v="92"/>
    <n v="3036"/>
    <s v="Two Year"/>
    <x v="2"/>
    <s v="No"/>
    <m/>
    <m/>
    <m/>
    <x v="1"/>
  </r>
  <r>
    <s v="CUST_293"/>
    <n v="9"/>
    <n v="62"/>
    <n v="558"/>
    <s v="One Year"/>
    <x v="0"/>
    <s v="No"/>
    <m/>
    <m/>
    <m/>
    <x v="1"/>
  </r>
  <r>
    <s v="CUST_294"/>
    <n v="59"/>
    <n v="55"/>
    <n v="3245"/>
    <s v="Month-to-Month"/>
    <x v="2"/>
    <s v="No"/>
    <m/>
    <m/>
    <m/>
    <x v="1"/>
  </r>
  <r>
    <s v="CUST_295"/>
    <n v="6"/>
    <n v="96"/>
    <n v="576"/>
    <s v="Two Year"/>
    <x v="0"/>
    <s v="No"/>
    <m/>
    <m/>
    <m/>
    <x v="1"/>
  </r>
  <r>
    <s v="CUST_296"/>
    <n v="16"/>
    <n v="78"/>
    <n v="1248"/>
    <s v="Two Year"/>
    <x v="1"/>
    <s v="No"/>
    <m/>
    <m/>
    <m/>
    <x v="1"/>
  </r>
  <r>
    <s v="CUST_297"/>
    <n v="29"/>
    <n v="92"/>
    <n v="2668"/>
    <s v="Month-to-Month"/>
    <x v="2"/>
    <s v="No"/>
    <m/>
    <m/>
    <m/>
    <x v="1"/>
  </r>
  <r>
    <s v="CUST_298"/>
    <n v="3"/>
    <n v="81"/>
    <n v="243"/>
    <s v="Month-to-Month"/>
    <x v="2"/>
    <s v="Yes"/>
    <m/>
    <m/>
    <m/>
    <x v="1"/>
  </r>
  <r>
    <s v="CUST_299"/>
    <n v="20"/>
    <n v="97"/>
    <n v="1940"/>
    <s v="Two Year"/>
    <x v="0"/>
    <s v="No"/>
    <m/>
    <m/>
    <m/>
    <x v="1"/>
  </r>
  <r>
    <s v="CUST_300"/>
    <n v="59"/>
    <n v="78"/>
    <n v="4602"/>
    <s v="One Year"/>
    <x v="2"/>
    <s v="No"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7687B-FB3F-5342-AB7B-882D233F79AE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D77C8-BD95-5348-B3A6-68B96E92B2CF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0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E8C7B-690E-D14B-A449-C8EA54407CBC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Chur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0F4D-3896-8D4D-9B7E-E3357874121A}">
  <dimension ref="A1"/>
  <sheetViews>
    <sheetView topLeftCell="A4" workbookViewId="0">
      <selection activeCell="A9" sqref="A3:A9"/>
    </sheetView>
  </sheetViews>
  <sheetFormatPr baseColWidth="10" defaultRowHeight="16" x14ac:dyDescent="0.2"/>
  <cols>
    <col min="1" max="1" width="14.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98B3-8F02-7745-8C6E-9ADD0CD0FCD0}">
  <dimension ref="A2:B26"/>
  <sheetViews>
    <sheetView topLeftCell="A2" workbookViewId="0">
      <selection activeCell="A26" sqref="A26"/>
    </sheetView>
  </sheetViews>
  <sheetFormatPr baseColWidth="10" defaultRowHeight="16" x14ac:dyDescent="0.2"/>
  <cols>
    <col min="1" max="1" width="29.5" bestFit="1" customWidth="1"/>
    <col min="2" max="2" width="26.5" customWidth="1"/>
  </cols>
  <sheetData>
    <row r="2" spans="1:2" x14ac:dyDescent="0.2">
      <c r="A2" s="1" t="s">
        <v>324</v>
      </c>
    </row>
    <row r="3" spans="1:2" x14ac:dyDescent="0.2">
      <c r="A3" s="3" t="s">
        <v>318</v>
      </c>
      <c r="B3" t="s">
        <v>320</v>
      </c>
    </row>
    <row r="4" spans="1:2" x14ac:dyDescent="0.2">
      <c r="A4" s="4" t="s">
        <v>12</v>
      </c>
      <c r="B4">
        <v>146</v>
      </c>
    </row>
    <row r="5" spans="1:2" x14ac:dyDescent="0.2">
      <c r="A5" s="4" t="s">
        <v>15</v>
      </c>
      <c r="B5">
        <v>95</v>
      </c>
    </row>
    <row r="6" spans="1:2" x14ac:dyDescent="0.2">
      <c r="A6" s="4" t="s">
        <v>8</v>
      </c>
      <c r="B6">
        <v>59</v>
      </c>
    </row>
    <row r="7" spans="1:2" x14ac:dyDescent="0.2">
      <c r="A7" s="4" t="s">
        <v>319</v>
      </c>
      <c r="B7">
        <v>300</v>
      </c>
    </row>
    <row r="9" spans="1:2" x14ac:dyDescent="0.2">
      <c r="A9" s="1" t="s">
        <v>325</v>
      </c>
    </row>
    <row r="10" spans="1:2" x14ac:dyDescent="0.2">
      <c r="A10" s="3" t="s">
        <v>318</v>
      </c>
      <c r="B10" t="s">
        <v>320</v>
      </c>
    </row>
    <row r="11" spans="1:2" x14ac:dyDescent="0.2">
      <c r="A11" s="4" t="s">
        <v>322</v>
      </c>
      <c r="B11">
        <v>1</v>
      </c>
    </row>
    <row r="12" spans="1:2" x14ac:dyDescent="0.2">
      <c r="A12" s="4" t="s">
        <v>323</v>
      </c>
      <c r="B12">
        <v>299</v>
      </c>
    </row>
    <row r="13" spans="1:2" x14ac:dyDescent="0.2">
      <c r="A13" s="4" t="s">
        <v>319</v>
      </c>
      <c r="B13">
        <v>300</v>
      </c>
    </row>
    <row r="15" spans="1:2" x14ac:dyDescent="0.2">
      <c r="A15" s="5" t="s">
        <v>326</v>
      </c>
    </row>
    <row r="16" spans="1:2" x14ac:dyDescent="0.2">
      <c r="A16" s="3" t="s">
        <v>318</v>
      </c>
      <c r="B16" t="s">
        <v>320</v>
      </c>
    </row>
    <row r="17" spans="1:2" x14ac:dyDescent="0.2">
      <c r="A17" s="4" t="s">
        <v>13</v>
      </c>
      <c r="B17">
        <v>108</v>
      </c>
    </row>
    <row r="18" spans="1:2" x14ac:dyDescent="0.2">
      <c r="A18" s="4" t="s">
        <v>18</v>
      </c>
      <c r="B18">
        <v>93</v>
      </c>
    </row>
    <row r="19" spans="1:2" x14ac:dyDescent="0.2">
      <c r="A19" s="4" t="s">
        <v>9</v>
      </c>
      <c r="B19">
        <v>99</v>
      </c>
    </row>
    <row r="20" spans="1:2" x14ac:dyDescent="0.2">
      <c r="A20" s="4" t="s">
        <v>319</v>
      </c>
      <c r="B20">
        <v>300</v>
      </c>
    </row>
    <row r="22" spans="1:2" x14ac:dyDescent="0.2">
      <c r="A22" s="6"/>
      <c r="B22" s="6"/>
    </row>
    <row r="24" spans="1:2" x14ac:dyDescent="0.2">
      <c r="B24" s="6"/>
    </row>
    <row r="26" spans="1:2" x14ac:dyDescent="0.2">
      <c r="B2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B735-33EA-0646-8877-CAF0A294E0F6}">
  <dimension ref="A1:N301"/>
  <sheetViews>
    <sheetView tabSelected="1" workbookViewId="0">
      <selection activeCell="L1" sqref="L1:N2"/>
    </sheetView>
  </sheetViews>
  <sheetFormatPr baseColWidth="10" defaultRowHeight="16" x14ac:dyDescent="0.2"/>
  <cols>
    <col min="1" max="1" width="11.83203125" bestFit="1" customWidth="1"/>
    <col min="2" max="2" width="13.5" bestFit="1" customWidth="1"/>
    <col min="3" max="3" width="15.1640625" bestFit="1" customWidth="1"/>
    <col min="4" max="4" width="12.6640625" bestFit="1" customWidth="1"/>
    <col min="5" max="5" width="14.5" bestFit="1" customWidth="1"/>
    <col min="6" max="6" width="15.1640625" bestFit="1" customWidth="1"/>
    <col min="8" max="8" width="20" bestFit="1" customWidth="1"/>
    <col min="9" max="9" width="23.1640625" bestFit="1" customWidth="1"/>
    <col min="10" max="10" width="18.6640625" bestFit="1" customWidth="1"/>
    <col min="11" max="11" width="14.5" bestFit="1" customWidth="1"/>
    <col min="12" max="12" width="39.1640625" bestFit="1" customWidth="1"/>
    <col min="13" max="13" width="65.83203125" bestFit="1" customWidth="1"/>
    <col min="14" max="14" width="68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315</v>
      </c>
      <c r="I1" s="1" t="s">
        <v>316</v>
      </c>
      <c r="J1" s="1" t="s">
        <v>317</v>
      </c>
      <c r="K1" s="1" t="s">
        <v>321</v>
      </c>
      <c r="L1" s="1" t="s">
        <v>328</v>
      </c>
      <c r="M1" s="1" t="s">
        <v>329</v>
      </c>
      <c r="N1" s="1" t="s">
        <v>331</v>
      </c>
    </row>
    <row r="2" spans="1:14" ht="221" x14ac:dyDescent="0.2">
      <c r="A2" t="s">
        <v>7</v>
      </c>
      <c r="B2">
        <v>39</v>
      </c>
      <c r="C2">
        <v>75</v>
      </c>
      <c r="D2">
        <v>2925</v>
      </c>
      <c r="E2" t="s">
        <v>8</v>
      </c>
      <c r="F2" t="s">
        <v>9</v>
      </c>
      <c r="G2" t="s">
        <v>10</v>
      </c>
      <c r="H2">
        <f>COUNTA(A:A)</f>
        <v>301</v>
      </c>
      <c r="I2">
        <f>COUNTIF(G:G,"Yes")</f>
        <v>34</v>
      </c>
      <c r="J2">
        <f xml:space="preserve"> (34 / 301)</f>
        <v>0.11295681063122924</v>
      </c>
      <c r="K2" t="str">
        <f>IF(B2&lt;12,"&lt;12 months",IF(B2&lt;=24,"12-24 months","&gt;24 months"))</f>
        <v>&gt;24 months</v>
      </c>
      <c r="L2" s="6" t="s">
        <v>327</v>
      </c>
      <c r="M2" s="6" t="s">
        <v>330</v>
      </c>
      <c r="N2" s="6" t="s">
        <v>332</v>
      </c>
    </row>
    <row r="3" spans="1:14" x14ac:dyDescent="0.2">
      <c r="A3" t="s">
        <v>11</v>
      </c>
      <c r="B3">
        <v>52</v>
      </c>
      <c r="C3">
        <v>58</v>
      </c>
      <c r="D3">
        <v>3016</v>
      </c>
      <c r="E3" t="s">
        <v>12</v>
      </c>
      <c r="F3" t="s">
        <v>13</v>
      </c>
      <c r="G3" t="s">
        <v>10</v>
      </c>
      <c r="L3" s="6"/>
    </row>
    <row r="4" spans="1:14" x14ac:dyDescent="0.2">
      <c r="A4" t="s">
        <v>14</v>
      </c>
      <c r="B4">
        <v>29</v>
      </c>
      <c r="C4">
        <v>106</v>
      </c>
      <c r="D4">
        <v>3074</v>
      </c>
      <c r="E4" t="s">
        <v>15</v>
      </c>
      <c r="F4" t="s">
        <v>9</v>
      </c>
      <c r="G4" t="s">
        <v>10</v>
      </c>
    </row>
    <row r="5" spans="1:14" x14ac:dyDescent="0.2">
      <c r="A5" t="s">
        <v>16</v>
      </c>
      <c r="B5">
        <v>15</v>
      </c>
      <c r="C5">
        <v>58</v>
      </c>
      <c r="D5">
        <v>870</v>
      </c>
      <c r="E5" t="s">
        <v>15</v>
      </c>
      <c r="F5" t="s">
        <v>9</v>
      </c>
      <c r="G5" t="s">
        <v>10</v>
      </c>
      <c r="I5" s="2"/>
    </row>
    <row r="6" spans="1:14" x14ac:dyDescent="0.2">
      <c r="A6" t="s">
        <v>17</v>
      </c>
      <c r="B6">
        <v>43</v>
      </c>
      <c r="C6">
        <v>59</v>
      </c>
      <c r="D6">
        <v>2537</v>
      </c>
      <c r="E6" t="s">
        <v>15</v>
      </c>
      <c r="F6" t="s">
        <v>18</v>
      </c>
      <c r="G6" t="s">
        <v>10</v>
      </c>
    </row>
    <row r="7" spans="1:14" x14ac:dyDescent="0.2">
      <c r="A7" t="s">
        <v>19</v>
      </c>
      <c r="B7">
        <v>8</v>
      </c>
      <c r="C7">
        <v>110</v>
      </c>
      <c r="D7">
        <v>880</v>
      </c>
      <c r="E7" t="s">
        <v>8</v>
      </c>
      <c r="F7" t="s">
        <v>18</v>
      </c>
      <c r="G7" t="s">
        <v>10</v>
      </c>
      <c r="I7" s="1"/>
    </row>
    <row r="8" spans="1:14" x14ac:dyDescent="0.2">
      <c r="A8" t="s">
        <v>20</v>
      </c>
      <c r="B8">
        <v>21</v>
      </c>
      <c r="C8">
        <v>91</v>
      </c>
      <c r="D8">
        <v>1911</v>
      </c>
      <c r="E8" t="s">
        <v>15</v>
      </c>
      <c r="F8" t="s">
        <v>13</v>
      </c>
      <c r="G8" t="s">
        <v>10</v>
      </c>
    </row>
    <row r="9" spans="1:14" x14ac:dyDescent="0.2">
      <c r="A9" t="s">
        <v>21</v>
      </c>
      <c r="B9">
        <v>39</v>
      </c>
      <c r="C9">
        <v>72</v>
      </c>
      <c r="D9">
        <v>2808</v>
      </c>
      <c r="E9" t="s">
        <v>8</v>
      </c>
      <c r="F9" t="s">
        <v>9</v>
      </c>
      <c r="G9" t="s">
        <v>10</v>
      </c>
      <c r="I9" s="1"/>
    </row>
    <row r="10" spans="1:14" x14ac:dyDescent="0.2">
      <c r="A10" t="s">
        <v>22</v>
      </c>
      <c r="B10">
        <v>58</v>
      </c>
      <c r="C10">
        <v>79</v>
      </c>
      <c r="D10">
        <v>4582</v>
      </c>
      <c r="E10" t="s">
        <v>8</v>
      </c>
      <c r="F10" t="s">
        <v>9</v>
      </c>
      <c r="G10" t="s">
        <v>10</v>
      </c>
    </row>
    <row r="11" spans="1:14" x14ac:dyDescent="0.2">
      <c r="A11" t="s">
        <v>23</v>
      </c>
      <c r="B11">
        <v>19</v>
      </c>
      <c r="C11">
        <v>78</v>
      </c>
      <c r="D11">
        <v>1482</v>
      </c>
      <c r="E11" t="s">
        <v>8</v>
      </c>
      <c r="F11" t="s">
        <v>9</v>
      </c>
      <c r="G11" t="s">
        <v>10</v>
      </c>
    </row>
    <row r="12" spans="1:14" x14ac:dyDescent="0.2">
      <c r="A12" t="s">
        <v>24</v>
      </c>
      <c r="B12">
        <v>23</v>
      </c>
      <c r="C12">
        <v>40</v>
      </c>
      <c r="D12">
        <v>920</v>
      </c>
      <c r="E12" t="s">
        <v>12</v>
      </c>
      <c r="F12" t="s">
        <v>13</v>
      </c>
      <c r="G12" t="s">
        <v>10</v>
      </c>
    </row>
    <row r="13" spans="1:14" x14ac:dyDescent="0.2">
      <c r="A13" t="s">
        <v>25</v>
      </c>
      <c r="B13">
        <v>11</v>
      </c>
      <c r="C13">
        <v>50</v>
      </c>
      <c r="D13">
        <v>550</v>
      </c>
      <c r="E13" t="s">
        <v>12</v>
      </c>
      <c r="F13" t="s">
        <v>13</v>
      </c>
      <c r="G13" t="s">
        <v>26</v>
      </c>
    </row>
    <row r="14" spans="1:14" x14ac:dyDescent="0.2">
      <c r="A14" t="s">
        <v>27</v>
      </c>
      <c r="B14">
        <v>11</v>
      </c>
      <c r="C14">
        <v>96</v>
      </c>
      <c r="D14">
        <v>1056</v>
      </c>
      <c r="E14" t="s">
        <v>12</v>
      </c>
      <c r="F14" t="s">
        <v>18</v>
      </c>
      <c r="G14" t="s">
        <v>26</v>
      </c>
    </row>
    <row r="15" spans="1:14" x14ac:dyDescent="0.2">
      <c r="A15" t="s">
        <v>28</v>
      </c>
      <c r="B15">
        <v>24</v>
      </c>
      <c r="C15">
        <v>89</v>
      </c>
      <c r="D15">
        <v>2136</v>
      </c>
      <c r="E15" t="s">
        <v>8</v>
      </c>
      <c r="F15" t="s">
        <v>18</v>
      </c>
      <c r="G15" t="s">
        <v>10</v>
      </c>
    </row>
    <row r="16" spans="1:14" x14ac:dyDescent="0.2">
      <c r="A16" t="s">
        <v>29</v>
      </c>
      <c r="B16">
        <v>53</v>
      </c>
      <c r="C16">
        <v>62</v>
      </c>
      <c r="D16">
        <v>3286</v>
      </c>
      <c r="E16" t="s">
        <v>12</v>
      </c>
      <c r="F16" t="s">
        <v>18</v>
      </c>
      <c r="G16" t="s">
        <v>10</v>
      </c>
    </row>
    <row r="17" spans="1:7" x14ac:dyDescent="0.2">
      <c r="A17" t="s">
        <v>30</v>
      </c>
      <c r="B17">
        <v>36</v>
      </c>
      <c r="C17">
        <v>70</v>
      </c>
      <c r="D17">
        <v>2520</v>
      </c>
      <c r="E17" t="s">
        <v>15</v>
      </c>
      <c r="F17" t="s">
        <v>9</v>
      </c>
      <c r="G17" t="s">
        <v>10</v>
      </c>
    </row>
    <row r="18" spans="1:7" x14ac:dyDescent="0.2">
      <c r="A18" t="s">
        <v>31</v>
      </c>
      <c r="B18">
        <v>40</v>
      </c>
      <c r="C18">
        <v>81</v>
      </c>
      <c r="D18">
        <v>3240</v>
      </c>
      <c r="E18" t="s">
        <v>12</v>
      </c>
      <c r="F18" t="s">
        <v>9</v>
      </c>
      <c r="G18" t="s">
        <v>10</v>
      </c>
    </row>
    <row r="19" spans="1:7" x14ac:dyDescent="0.2">
      <c r="A19" t="s">
        <v>32</v>
      </c>
      <c r="B19">
        <v>24</v>
      </c>
      <c r="C19">
        <v>46</v>
      </c>
      <c r="D19">
        <v>1104</v>
      </c>
      <c r="E19" t="s">
        <v>15</v>
      </c>
      <c r="F19" t="s">
        <v>18</v>
      </c>
      <c r="G19" t="s">
        <v>10</v>
      </c>
    </row>
    <row r="20" spans="1:7" x14ac:dyDescent="0.2">
      <c r="A20" t="s">
        <v>33</v>
      </c>
      <c r="B20">
        <v>3</v>
      </c>
      <c r="C20">
        <v>55</v>
      </c>
      <c r="D20">
        <v>165</v>
      </c>
      <c r="E20" t="s">
        <v>8</v>
      </c>
      <c r="F20" t="s">
        <v>9</v>
      </c>
      <c r="G20" t="s">
        <v>10</v>
      </c>
    </row>
    <row r="21" spans="1:7" x14ac:dyDescent="0.2">
      <c r="A21" t="s">
        <v>34</v>
      </c>
      <c r="B21">
        <v>22</v>
      </c>
      <c r="C21">
        <v>99</v>
      </c>
      <c r="D21">
        <v>2178</v>
      </c>
      <c r="E21" t="s">
        <v>8</v>
      </c>
      <c r="F21" t="s">
        <v>18</v>
      </c>
      <c r="G21" t="s">
        <v>10</v>
      </c>
    </row>
    <row r="22" spans="1:7" x14ac:dyDescent="0.2">
      <c r="A22" t="s">
        <v>35</v>
      </c>
      <c r="B22">
        <v>53</v>
      </c>
      <c r="C22">
        <v>41</v>
      </c>
      <c r="D22">
        <v>2173</v>
      </c>
      <c r="E22" t="s">
        <v>12</v>
      </c>
      <c r="F22" t="s">
        <v>13</v>
      </c>
      <c r="G22" t="s">
        <v>10</v>
      </c>
    </row>
    <row r="23" spans="1:7" x14ac:dyDescent="0.2">
      <c r="A23" t="s">
        <v>36</v>
      </c>
      <c r="B23">
        <v>2</v>
      </c>
      <c r="C23">
        <v>40</v>
      </c>
      <c r="D23">
        <v>80</v>
      </c>
      <c r="E23" t="s">
        <v>8</v>
      </c>
      <c r="F23" t="s">
        <v>18</v>
      </c>
      <c r="G23" t="s">
        <v>10</v>
      </c>
    </row>
    <row r="24" spans="1:7" x14ac:dyDescent="0.2">
      <c r="A24" t="s">
        <v>37</v>
      </c>
      <c r="B24">
        <v>24</v>
      </c>
      <c r="C24">
        <v>87</v>
      </c>
      <c r="D24">
        <v>2088</v>
      </c>
      <c r="E24" t="s">
        <v>15</v>
      </c>
      <c r="F24" t="s">
        <v>13</v>
      </c>
      <c r="G24" t="s">
        <v>10</v>
      </c>
    </row>
    <row r="25" spans="1:7" x14ac:dyDescent="0.2">
      <c r="A25" t="s">
        <v>38</v>
      </c>
      <c r="B25">
        <v>44</v>
      </c>
      <c r="C25">
        <v>51</v>
      </c>
      <c r="D25">
        <v>2244</v>
      </c>
      <c r="E25" t="s">
        <v>12</v>
      </c>
      <c r="F25" t="s">
        <v>9</v>
      </c>
      <c r="G25" t="s">
        <v>10</v>
      </c>
    </row>
    <row r="26" spans="1:7" x14ac:dyDescent="0.2">
      <c r="A26" t="s">
        <v>39</v>
      </c>
      <c r="B26">
        <v>30</v>
      </c>
      <c r="C26">
        <v>108</v>
      </c>
      <c r="D26">
        <v>3240</v>
      </c>
      <c r="E26" t="s">
        <v>15</v>
      </c>
      <c r="F26" t="s">
        <v>18</v>
      </c>
      <c r="G26" t="s">
        <v>10</v>
      </c>
    </row>
    <row r="27" spans="1:7" x14ac:dyDescent="0.2">
      <c r="A27" t="s">
        <v>40</v>
      </c>
      <c r="B27">
        <v>38</v>
      </c>
      <c r="C27">
        <v>76</v>
      </c>
      <c r="D27">
        <v>2888</v>
      </c>
      <c r="E27" t="s">
        <v>12</v>
      </c>
      <c r="F27" t="s">
        <v>9</v>
      </c>
      <c r="G27" t="s">
        <v>10</v>
      </c>
    </row>
    <row r="28" spans="1:7" x14ac:dyDescent="0.2">
      <c r="A28" t="s">
        <v>41</v>
      </c>
      <c r="B28">
        <v>2</v>
      </c>
      <c r="C28">
        <v>71</v>
      </c>
      <c r="D28">
        <v>142</v>
      </c>
      <c r="E28" t="s">
        <v>12</v>
      </c>
      <c r="F28" t="s">
        <v>13</v>
      </c>
      <c r="G28" t="s">
        <v>26</v>
      </c>
    </row>
    <row r="29" spans="1:7" x14ac:dyDescent="0.2">
      <c r="A29" t="s">
        <v>42</v>
      </c>
      <c r="B29">
        <v>21</v>
      </c>
      <c r="C29">
        <v>48</v>
      </c>
      <c r="D29">
        <v>1008</v>
      </c>
      <c r="E29" t="s">
        <v>15</v>
      </c>
      <c r="F29" t="s">
        <v>13</v>
      </c>
      <c r="G29" t="s">
        <v>10</v>
      </c>
    </row>
    <row r="30" spans="1:7" x14ac:dyDescent="0.2">
      <c r="A30" t="s">
        <v>43</v>
      </c>
      <c r="B30">
        <v>33</v>
      </c>
      <c r="C30">
        <v>58</v>
      </c>
      <c r="D30">
        <v>1914</v>
      </c>
      <c r="E30" t="s">
        <v>12</v>
      </c>
      <c r="F30" t="s">
        <v>13</v>
      </c>
      <c r="G30" t="s">
        <v>10</v>
      </c>
    </row>
    <row r="31" spans="1:7" x14ac:dyDescent="0.2">
      <c r="A31" t="s">
        <v>44</v>
      </c>
      <c r="B31">
        <v>12</v>
      </c>
      <c r="C31">
        <v>87</v>
      </c>
      <c r="D31">
        <v>1044</v>
      </c>
      <c r="E31" t="s">
        <v>12</v>
      </c>
      <c r="F31" t="s">
        <v>9</v>
      </c>
      <c r="G31" t="s">
        <v>10</v>
      </c>
    </row>
    <row r="32" spans="1:7" x14ac:dyDescent="0.2">
      <c r="A32" t="s">
        <v>45</v>
      </c>
      <c r="B32">
        <v>58</v>
      </c>
      <c r="C32">
        <v>119</v>
      </c>
      <c r="D32">
        <v>6902</v>
      </c>
      <c r="E32" t="s">
        <v>12</v>
      </c>
      <c r="F32" t="s">
        <v>9</v>
      </c>
      <c r="G32" t="s">
        <v>10</v>
      </c>
    </row>
    <row r="33" spans="1:7" x14ac:dyDescent="0.2">
      <c r="A33" t="s">
        <v>46</v>
      </c>
      <c r="B33">
        <v>22</v>
      </c>
      <c r="C33">
        <v>42</v>
      </c>
      <c r="D33">
        <v>924</v>
      </c>
      <c r="E33" t="s">
        <v>12</v>
      </c>
      <c r="F33" t="s">
        <v>9</v>
      </c>
      <c r="G33" t="s">
        <v>10</v>
      </c>
    </row>
    <row r="34" spans="1:7" x14ac:dyDescent="0.2">
      <c r="A34" t="s">
        <v>47</v>
      </c>
      <c r="B34">
        <v>44</v>
      </c>
      <c r="C34">
        <v>59</v>
      </c>
      <c r="D34">
        <v>2596</v>
      </c>
      <c r="E34" t="s">
        <v>12</v>
      </c>
      <c r="F34" t="s">
        <v>9</v>
      </c>
      <c r="G34" t="s">
        <v>10</v>
      </c>
    </row>
    <row r="35" spans="1:7" x14ac:dyDescent="0.2">
      <c r="A35" t="s">
        <v>48</v>
      </c>
      <c r="B35">
        <v>25</v>
      </c>
      <c r="C35">
        <v>63</v>
      </c>
      <c r="D35">
        <v>1575</v>
      </c>
      <c r="E35" t="s">
        <v>15</v>
      </c>
      <c r="F35" t="s">
        <v>13</v>
      </c>
      <c r="G35" t="s">
        <v>10</v>
      </c>
    </row>
    <row r="36" spans="1:7" x14ac:dyDescent="0.2">
      <c r="A36" t="s">
        <v>49</v>
      </c>
      <c r="B36">
        <v>49</v>
      </c>
      <c r="C36">
        <v>93</v>
      </c>
      <c r="D36">
        <v>4557</v>
      </c>
      <c r="E36" t="s">
        <v>15</v>
      </c>
      <c r="F36" t="s">
        <v>13</v>
      </c>
      <c r="G36" t="s">
        <v>10</v>
      </c>
    </row>
    <row r="37" spans="1:7" x14ac:dyDescent="0.2">
      <c r="A37" t="s">
        <v>50</v>
      </c>
      <c r="B37">
        <v>27</v>
      </c>
      <c r="C37">
        <v>72</v>
      </c>
      <c r="D37">
        <v>1944</v>
      </c>
      <c r="E37" t="s">
        <v>15</v>
      </c>
      <c r="F37" t="s">
        <v>18</v>
      </c>
      <c r="G37" t="s">
        <v>10</v>
      </c>
    </row>
    <row r="38" spans="1:7" x14ac:dyDescent="0.2">
      <c r="A38" t="s">
        <v>51</v>
      </c>
      <c r="B38">
        <v>59</v>
      </c>
      <c r="C38">
        <v>63</v>
      </c>
      <c r="D38">
        <v>3717</v>
      </c>
      <c r="E38" t="s">
        <v>8</v>
      </c>
      <c r="F38" t="s">
        <v>18</v>
      </c>
      <c r="G38" t="s">
        <v>10</v>
      </c>
    </row>
    <row r="39" spans="1:7" x14ac:dyDescent="0.2">
      <c r="A39" t="s">
        <v>52</v>
      </c>
      <c r="B39">
        <v>42</v>
      </c>
      <c r="C39">
        <v>114</v>
      </c>
      <c r="D39">
        <v>4788</v>
      </c>
      <c r="E39" t="s">
        <v>15</v>
      </c>
      <c r="F39" t="s">
        <v>9</v>
      </c>
      <c r="G39" t="s">
        <v>10</v>
      </c>
    </row>
    <row r="40" spans="1:7" x14ac:dyDescent="0.2">
      <c r="A40" t="s">
        <v>53</v>
      </c>
      <c r="B40">
        <v>28</v>
      </c>
      <c r="C40">
        <v>111</v>
      </c>
      <c r="D40">
        <v>3108</v>
      </c>
      <c r="E40" t="s">
        <v>15</v>
      </c>
      <c r="F40" t="s">
        <v>13</v>
      </c>
      <c r="G40" t="s">
        <v>10</v>
      </c>
    </row>
    <row r="41" spans="1:7" x14ac:dyDescent="0.2">
      <c r="A41" t="s">
        <v>54</v>
      </c>
      <c r="B41">
        <v>16</v>
      </c>
      <c r="C41">
        <v>75</v>
      </c>
      <c r="D41">
        <v>1200</v>
      </c>
      <c r="E41" t="s">
        <v>12</v>
      </c>
      <c r="F41" t="s">
        <v>13</v>
      </c>
      <c r="G41" t="s">
        <v>10</v>
      </c>
    </row>
    <row r="42" spans="1:7" x14ac:dyDescent="0.2">
      <c r="A42" t="s">
        <v>55</v>
      </c>
      <c r="B42">
        <v>15</v>
      </c>
      <c r="C42">
        <v>77</v>
      </c>
      <c r="D42">
        <v>1155</v>
      </c>
      <c r="E42" t="s">
        <v>12</v>
      </c>
      <c r="F42" t="s">
        <v>13</v>
      </c>
      <c r="G42" t="s">
        <v>10</v>
      </c>
    </row>
    <row r="43" spans="1:7" x14ac:dyDescent="0.2">
      <c r="A43" t="s">
        <v>56</v>
      </c>
      <c r="B43">
        <v>47</v>
      </c>
      <c r="C43">
        <v>64</v>
      </c>
      <c r="D43">
        <v>3008</v>
      </c>
      <c r="E43" t="s">
        <v>12</v>
      </c>
      <c r="F43" t="s">
        <v>18</v>
      </c>
      <c r="G43" t="s">
        <v>10</v>
      </c>
    </row>
    <row r="44" spans="1:7" x14ac:dyDescent="0.2">
      <c r="A44" t="s">
        <v>57</v>
      </c>
      <c r="B44">
        <v>51</v>
      </c>
      <c r="C44">
        <v>57</v>
      </c>
      <c r="D44">
        <v>2907</v>
      </c>
      <c r="E44" t="s">
        <v>12</v>
      </c>
      <c r="F44" t="s">
        <v>18</v>
      </c>
      <c r="G44" t="s">
        <v>10</v>
      </c>
    </row>
    <row r="45" spans="1:7" x14ac:dyDescent="0.2">
      <c r="A45" t="s">
        <v>58</v>
      </c>
      <c r="B45">
        <v>44</v>
      </c>
      <c r="C45">
        <v>105</v>
      </c>
      <c r="D45">
        <v>4620</v>
      </c>
      <c r="E45" t="s">
        <v>15</v>
      </c>
      <c r="F45" t="s">
        <v>13</v>
      </c>
      <c r="G45" t="s">
        <v>10</v>
      </c>
    </row>
    <row r="46" spans="1:7" x14ac:dyDescent="0.2">
      <c r="A46" t="s">
        <v>59</v>
      </c>
      <c r="B46">
        <v>55</v>
      </c>
      <c r="C46">
        <v>93</v>
      </c>
      <c r="D46">
        <v>5115</v>
      </c>
      <c r="E46" t="s">
        <v>12</v>
      </c>
      <c r="F46" t="s">
        <v>13</v>
      </c>
      <c r="G46" t="s">
        <v>10</v>
      </c>
    </row>
    <row r="47" spans="1:7" x14ac:dyDescent="0.2">
      <c r="A47" t="s">
        <v>60</v>
      </c>
      <c r="B47">
        <v>52</v>
      </c>
      <c r="C47">
        <v>74</v>
      </c>
      <c r="D47">
        <v>3848</v>
      </c>
      <c r="E47" t="s">
        <v>8</v>
      </c>
      <c r="F47" t="s">
        <v>13</v>
      </c>
      <c r="G47" t="s">
        <v>10</v>
      </c>
    </row>
    <row r="48" spans="1:7" x14ac:dyDescent="0.2">
      <c r="A48" t="s">
        <v>61</v>
      </c>
      <c r="B48">
        <v>57</v>
      </c>
      <c r="C48">
        <v>119</v>
      </c>
      <c r="D48">
        <v>6783</v>
      </c>
      <c r="E48" t="s">
        <v>8</v>
      </c>
      <c r="F48" t="s">
        <v>18</v>
      </c>
      <c r="G48" t="s">
        <v>10</v>
      </c>
    </row>
    <row r="49" spans="1:7" x14ac:dyDescent="0.2">
      <c r="A49" t="s">
        <v>62</v>
      </c>
      <c r="B49">
        <v>3</v>
      </c>
      <c r="C49">
        <v>100</v>
      </c>
      <c r="D49">
        <v>300</v>
      </c>
      <c r="E49" t="s">
        <v>15</v>
      </c>
      <c r="F49" t="s">
        <v>13</v>
      </c>
      <c r="G49" t="s">
        <v>10</v>
      </c>
    </row>
    <row r="50" spans="1:7" x14ac:dyDescent="0.2">
      <c r="A50" t="s">
        <v>63</v>
      </c>
      <c r="B50">
        <v>37</v>
      </c>
      <c r="C50">
        <v>80</v>
      </c>
      <c r="D50">
        <v>2960</v>
      </c>
      <c r="E50" t="s">
        <v>12</v>
      </c>
      <c r="F50" t="s">
        <v>13</v>
      </c>
      <c r="G50" t="s">
        <v>10</v>
      </c>
    </row>
    <row r="51" spans="1:7" x14ac:dyDescent="0.2">
      <c r="A51" t="s">
        <v>64</v>
      </c>
      <c r="B51">
        <v>51</v>
      </c>
      <c r="C51">
        <v>72</v>
      </c>
      <c r="D51">
        <v>3672</v>
      </c>
      <c r="E51" t="s">
        <v>12</v>
      </c>
      <c r="F51" t="s">
        <v>9</v>
      </c>
      <c r="G51" t="s">
        <v>10</v>
      </c>
    </row>
    <row r="52" spans="1:7" x14ac:dyDescent="0.2">
      <c r="A52" t="s">
        <v>65</v>
      </c>
      <c r="B52">
        <v>7</v>
      </c>
      <c r="C52">
        <v>107</v>
      </c>
      <c r="D52">
        <v>749</v>
      </c>
      <c r="E52" t="s">
        <v>8</v>
      </c>
      <c r="F52" t="s">
        <v>9</v>
      </c>
      <c r="G52" t="s">
        <v>10</v>
      </c>
    </row>
    <row r="53" spans="1:7" x14ac:dyDescent="0.2">
      <c r="A53" t="s">
        <v>66</v>
      </c>
      <c r="B53">
        <v>21</v>
      </c>
      <c r="C53">
        <v>72</v>
      </c>
      <c r="D53">
        <v>1512</v>
      </c>
      <c r="E53" t="s">
        <v>8</v>
      </c>
      <c r="F53" t="s">
        <v>18</v>
      </c>
      <c r="G53" t="s">
        <v>10</v>
      </c>
    </row>
    <row r="54" spans="1:7" x14ac:dyDescent="0.2">
      <c r="A54" t="s">
        <v>67</v>
      </c>
      <c r="B54">
        <v>9</v>
      </c>
      <c r="C54">
        <v>53</v>
      </c>
      <c r="D54">
        <v>477</v>
      </c>
      <c r="E54" t="s">
        <v>12</v>
      </c>
      <c r="F54" t="s">
        <v>13</v>
      </c>
      <c r="G54" t="s">
        <v>26</v>
      </c>
    </row>
    <row r="55" spans="1:7" x14ac:dyDescent="0.2">
      <c r="A55" t="s">
        <v>68</v>
      </c>
      <c r="B55">
        <v>39</v>
      </c>
      <c r="C55">
        <v>60</v>
      </c>
      <c r="D55">
        <v>2340</v>
      </c>
      <c r="E55" t="s">
        <v>15</v>
      </c>
      <c r="F55" t="s">
        <v>13</v>
      </c>
      <c r="G55" t="s">
        <v>10</v>
      </c>
    </row>
    <row r="56" spans="1:7" x14ac:dyDescent="0.2">
      <c r="A56" t="s">
        <v>69</v>
      </c>
      <c r="B56">
        <v>18</v>
      </c>
      <c r="C56">
        <v>87</v>
      </c>
      <c r="D56">
        <v>1566</v>
      </c>
      <c r="E56" t="s">
        <v>12</v>
      </c>
      <c r="F56" t="s">
        <v>9</v>
      </c>
      <c r="G56" t="s">
        <v>10</v>
      </c>
    </row>
    <row r="57" spans="1:7" x14ac:dyDescent="0.2">
      <c r="A57" t="s">
        <v>70</v>
      </c>
      <c r="B57">
        <v>4</v>
      </c>
      <c r="C57">
        <v>59</v>
      </c>
      <c r="D57">
        <v>236</v>
      </c>
      <c r="E57" t="s">
        <v>12</v>
      </c>
      <c r="F57" t="s">
        <v>18</v>
      </c>
      <c r="G57" t="s">
        <v>26</v>
      </c>
    </row>
    <row r="58" spans="1:7" x14ac:dyDescent="0.2">
      <c r="A58" t="s">
        <v>71</v>
      </c>
      <c r="B58">
        <v>25</v>
      </c>
      <c r="C58">
        <v>47</v>
      </c>
      <c r="D58">
        <v>1175</v>
      </c>
      <c r="E58" t="s">
        <v>12</v>
      </c>
      <c r="F58" t="s">
        <v>9</v>
      </c>
      <c r="G58" t="s">
        <v>10</v>
      </c>
    </row>
    <row r="59" spans="1:7" x14ac:dyDescent="0.2">
      <c r="A59" t="s">
        <v>72</v>
      </c>
      <c r="B59">
        <v>14</v>
      </c>
      <c r="C59">
        <v>46</v>
      </c>
      <c r="D59">
        <v>644</v>
      </c>
      <c r="E59" t="s">
        <v>12</v>
      </c>
      <c r="F59" t="s">
        <v>9</v>
      </c>
      <c r="G59" t="s">
        <v>10</v>
      </c>
    </row>
    <row r="60" spans="1:7" x14ac:dyDescent="0.2">
      <c r="A60" t="s">
        <v>73</v>
      </c>
      <c r="B60">
        <v>50</v>
      </c>
      <c r="C60">
        <v>106</v>
      </c>
      <c r="D60">
        <v>5300</v>
      </c>
      <c r="E60" t="s">
        <v>8</v>
      </c>
      <c r="F60" t="s">
        <v>9</v>
      </c>
      <c r="G60" t="s">
        <v>10</v>
      </c>
    </row>
    <row r="61" spans="1:7" x14ac:dyDescent="0.2">
      <c r="A61" t="s">
        <v>74</v>
      </c>
      <c r="B61">
        <v>58</v>
      </c>
      <c r="C61">
        <v>56</v>
      </c>
      <c r="D61">
        <v>3248</v>
      </c>
      <c r="E61" t="s">
        <v>15</v>
      </c>
      <c r="F61" t="s">
        <v>9</v>
      </c>
      <c r="G61" t="s">
        <v>10</v>
      </c>
    </row>
    <row r="62" spans="1:7" x14ac:dyDescent="0.2">
      <c r="A62" t="s">
        <v>75</v>
      </c>
      <c r="B62">
        <v>9</v>
      </c>
      <c r="C62">
        <v>72</v>
      </c>
      <c r="D62">
        <v>648</v>
      </c>
      <c r="E62" t="s">
        <v>12</v>
      </c>
      <c r="F62" t="s">
        <v>13</v>
      </c>
      <c r="G62" t="s">
        <v>26</v>
      </c>
    </row>
    <row r="63" spans="1:7" x14ac:dyDescent="0.2">
      <c r="A63" t="s">
        <v>76</v>
      </c>
      <c r="B63">
        <v>26</v>
      </c>
      <c r="C63">
        <v>87</v>
      </c>
      <c r="D63">
        <v>2262</v>
      </c>
      <c r="E63" t="s">
        <v>15</v>
      </c>
      <c r="F63" t="s">
        <v>13</v>
      </c>
      <c r="G63" t="s">
        <v>10</v>
      </c>
    </row>
    <row r="64" spans="1:7" x14ac:dyDescent="0.2">
      <c r="A64" t="s">
        <v>77</v>
      </c>
      <c r="B64">
        <v>53</v>
      </c>
      <c r="C64">
        <v>115</v>
      </c>
      <c r="D64">
        <v>6095</v>
      </c>
      <c r="E64" t="s">
        <v>8</v>
      </c>
      <c r="F64" t="s">
        <v>9</v>
      </c>
      <c r="G64" t="s">
        <v>10</v>
      </c>
    </row>
    <row r="65" spans="1:7" x14ac:dyDescent="0.2">
      <c r="A65" t="s">
        <v>78</v>
      </c>
      <c r="B65">
        <v>2</v>
      </c>
      <c r="C65">
        <v>98</v>
      </c>
      <c r="D65">
        <v>196</v>
      </c>
      <c r="E65" t="s">
        <v>8</v>
      </c>
      <c r="F65" t="s">
        <v>18</v>
      </c>
      <c r="G65" t="s">
        <v>10</v>
      </c>
    </row>
    <row r="66" spans="1:7" x14ac:dyDescent="0.2">
      <c r="A66" t="s">
        <v>79</v>
      </c>
      <c r="B66">
        <v>20</v>
      </c>
      <c r="C66">
        <v>61</v>
      </c>
      <c r="D66">
        <v>1220</v>
      </c>
      <c r="E66" t="s">
        <v>12</v>
      </c>
      <c r="F66" t="s">
        <v>18</v>
      </c>
      <c r="G66" t="s">
        <v>10</v>
      </c>
    </row>
    <row r="67" spans="1:7" x14ac:dyDescent="0.2">
      <c r="A67" t="s">
        <v>80</v>
      </c>
      <c r="B67">
        <v>28</v>
      </c>
      <c r="C67">
        <v>69</v>
      </c>
      <c r="D67">
        <v>1932</v>
      </c>
      <c r="E67" t="s">
        <v>12</v>
      </c>
      <c r="F67" t="s">
        <v>18</v>
      </c>
      <c r="G67" t="s">
        <v>10</v>
      </c>
    </row>
    <row r="68" spans="1:7" x14ac:dyDescent="0.2">
      <c r="A68" t="s">
        <v>81</v>
      </c>
      <c r="B68">
        <v>47</v>
      </c>
      <c r="C68">
        <v>77</v>
      </c>
      <c r="D68">
        <v>3619</v>
      </c>
      <c r="E68" t="s">
        <v>12</v>
      </c>
      <c r="F68" t="s">
        <v>18</v>
      </c>
      <c r="G68" t="s">
        <v>10</v>
      </c>
    </row>
    <row r="69" spans="1:7" x14ac:dyDescent="0.2">
      <c r="A69" t="s">
        <v>82</v>
      </c>
      <c r="B69">
        <v>7</v>
      </c>
      <c r="C69">
        <v>90</v>
      </c>
      <c r="D69">
        <v>630</v>
      </c>
      <c r="E69" t="s">
        <v>12</v>
      </c>
      <c r="F69" t="s">
        <v>9</v>
      </c>
      <c r="G69" t="s">
        <v>26</v>
      </c>
    </row>
    <row r="70" spans="1:7" x14ac:dyDescent="0.2">
      <c r="A70" t="s">
        <v>83</v>
      </c>
      <c r="B70">
        <v>44</v>
      </c>
      <c r="C70">
        <v>93</v>
      </c>
      <c r="D70">
        <v>4092</v>
      </c>
      <c r="E70" t="s">
        <v>12</v>
      </c>
      <c r="F70" t="s">
        <v>13</v>
      </c>
      <c r="G70" t="s">
        <v>10</v>
      </c>
    </row>
    <row r="71" spans="1:7" x14ac:dyDescent="0.2">
      <c r="A71" t="s">
        <v>84</v>
      </c>
      <c r="B71">
        <v>8</v>
      </c>
      <c r="C71">
        <v>47</v>
      </c>
      <c r="D71">
        <v>376</v>
      </c>
      <c r="E71" t="s">
        <v>15</v>
      </c>
      <c r="F71" t="s">
        <v>18</v>
      </c>
      <c r="G71" t="s">
        <v>10</v>
      </c>
    </row>
    <row r="72" spans="1:7" x14ac:dyDescent="0.2">
      <c r="A72" t="s">
        <v>85</v>
      </c>
      <c r="B72">
        <v>47</v>
      </c>
      <c r="C72">
        <v>66</v>
      </c>
      <c r="D72">
        <v>3102</v>
      </c>
      <c r="E72" t="s">
        <v>12</v>
      </c>
      <c r="F72" t="s">
        <v>9</v>
      </c>
      <c r="G72" t="s">
        <v>10</v>
      </c>
    </row>
    <row r="73" spans="1:7" x14ac:dyDescent="0.2">
      <c r="A73" t="s">
        <v>86</v>
      </c>
      <c r="B73">
        <v>35</v>
      </c>
      <c r="C73">
        <v>66</v>
      </c>
      <c r="D73">
        <v>2310</v>
      </c>
      <c r="E73" t="s">
        <v>12</v>
      </c>
      <c r="F73" t="s">
        <v>18</v>
      </c>
      <c r="G73" t="s">
        <v>10</v>
      </c>
    </row>
    <row r="74" spans="1:7" x14ac:dyDescent="0.2">
      <c r="A74" t="s">
        <v>87</v>
      </c>
      <c r="B74">
        <v>14</v>
      </c>
      <c r="C74">
        <v>60</v>
      </c>
      <c r="D74">
        <v>840</v>
      </c>
      <c r="E74" t="s">
        <v>12</v>
      </c>
      <c r="F74" t="s">
        <v>18</v>
      </c>
      <c r="G74" t="s">
        <v>10</v>
      </c>
    </row>
    <row r="75" spans="1:7" x14ac:dyDescent="0.2">
      <c r="A75" t="s">
        <v>88</v>
      </c>
      <c r="B75">
        <v>17</v>
      </c>
      <c r="C75">
        <v>69</v>
      </c>
      <c r="D75">
        <v>1173</v>
      </c>
      <c r="E75" t="s">
        <v>12</v>
      </c>
      <c r="F75" t="s">
        <v>9</v>
      </c>
      <c r="G75" t="s">
        <v>10</v>
      </c>
    </row>
    <row r="76" spans="1:7" x14ac:dyDescent="0.2">
      <c r="A76" t="s">
        <v>89</v>
      </c>
      <c r="B76">
        <v>36</v>
      </c>
      <c r="C76">
        <v>67</v>
      </c>
      <c r="D76">
        <v>2412</v>
      </c>
      <c r="E76" t="s">
        <v>12</v>
      </c>
      <c r="F76" t="s">
        <v>13</v>
      </c>
      <c r="G76" t="s">
        <v>10</v>
      </c>
    </row>
    <row r="77" spans="1:7" x14ac:dyDescent="0.2">
      <c r="A77" t="s">
        <v>90</v>
      </c>
      <c r="B77">
        <v>50</v>
      </c>
      <c r="C77">
        <v>103</v>
      </c>
      <c r="D77">
        <v>5150</v>
      </c>
      <c r="E77" t="s">
        <v>12</v>
      </c>
      <c r="F77" t="s">
        <v>13</v>
      </c>
      <c r="G77" t="s">
        <v>10</v>
      </c>
    </row>
    <row r="78" spans="1:7" x14ac:dyDescent="0.2">
      <c r="A78" t="s">
        <v>91</v>
      </c>
      <c r="B78">
        <v>40</v>
      </c>
      <c r="C78">
        <v>108</v>
      </c>
      <c r="D78">
        <v>4320</v>
      </c>
      <c r="E78" t="s">
        <v>12</v>
      </c>
      <c r="F78" t="s">
        <v>9</v>
      </c>
      <c r="G78" t="s">
        <v>10</v>
      </c>
    </row>
    <row r="79" spans="1:7" x14ac:dyDescent="0.2">
      <c r="A79" t="s">
        <v>92</v>
      </c>
      <c r="B79">
        <v>4</v>
      </c>
      <c r="C79">
        <v>100</v>
      </c>
      <c r="D79">
        <v>400</v>
      </c>
      <c r="E79" t="s">
        <v>12</v>
      </c>
      <c r="F79" t="s">
        <v>13</v>
      </c>
      <c r="G79" t="s">
        <v>26</v>
      </c>
    </row>
    <row r="80" spans="1:7" x14ac:dyDescent="0.2">
      <c r="A80" t="s">
        <v>93</v>
      </c>
      <c r="B80">
        <v>2</v>
      </c>
      <c r="C80">
        <v>87</v>
      </c>
      <c r="D80">
        <v>174</v>
      </c>
      <c r="E80" t="s">
        <v>12</v>
      </c>
      <c r="F80" t="s">
        <v>9</v>
      </c>
      <c r="G80" t="s">
        <v>26</v>
      </c>
    </row>
    <row r="81" spans="1:7" x14ac:dyDescent="0.2">
      <c r="A81" t="s">
        <v>94</v>
      </c>
      <c r="B81">
        <v>6</v>
      </c>
      <c r="C81">
        <v>58</v>
      </c>
      <c r="D81">
        <v>348</v>
      </c>
      <c r="E81" t="s">
        <v>15</v>
      </c>
      <c r="F81" t="s">
        <v>9</v>
      </c>
      <c r="G81" t="s">
        <v>10</v>
      </c>
    </row>
    <row r="82" spans="1:7" x14ac:dyDescent="0.2">
      <c r="A82" t="s">
        <v>95</v>
      </c>
      <c r="B82">
        <v>54</v>
      </c>
      <c r="C82">
        <v>43</v>
      </c>
      <c r="D82">
        <v>2322</v>
      </c>
      <c r="E82" t="s">
        <v>12</v>
      </c>
      <c r="F82" t="s">
        <v>9</v>
      </c>
      <c r="G82" t="s">
        <v>10</v>
      </c>
    </row>
    <row r="83" spans="1:7" x14ac:dyDescent="0.2">
      <c r="A83" t="s">
        <v>96</v>
      </c>
      <c r="B83">
        <v>42</v>
      </c>
      <c r="C83">
        <v>74</v>
      </c>
      <c r="D83">
        <v>3108</v>
      </c>
      <c r="E83" t="s">
        <v>12</v>
      </c>
      <c r="F83" t="s">
        <v>13</v>
      </c>
      <c r="G83" t="s">
        <v>10</v>
      </c>
    </row>
    <row r="84" spans="1:7" x14ac:dyDescent="0.2">
      <c r="A84" t="s">
        <v>97</v>
      </c>
      <c r="B84">
        <v>4</v>
      </c>
      <c r="C84">
        <v>103</v>
      </c>
      <c r="D84">
        <v>412</v>
      </c>
      <c r="E84" t="s">
        <v>12</v>
      </c>
      <c r="F84" t="s">
        <v>9</v>
      </c>
      <c r="G84" t="s">
        <v>26</v>
      </c>
    </row>
    <row r="85" spans="1:7" x14ac:dyDescent="0.2">
      <c r="A85" t="s">
        <v>98</v>
      </c>
      <c r="B85">
        <v>54</v>
      </c>
      <c r="C85">
        <v>88</v>
      </c>
      <c r="D85">
        <v>4752</v>
      </c>
      <c r="E85" t="s">
        <v>8</v>
      </c>
      <c r="F85" t="s">
        <v>18</v>
      </c>
      <c r="G85" t="s">
        <v>10</v>
      </c>
    </row>
    <row r="86" spans="1:7" x14ac:dyDescent="0.2">
      <c r="A86" t="s">
        <v>99</v>
      </c>
      <c r="B86">
        <v>29</v>
      </c>
      <c r="C86">
        <v>56</v>
      </c>
      <c r="D86">
        <v>1624</v>
      </c>
      <c r="E86" t="s">
        <v>12</v>
      </c>
      <c r="F86" t="s">
        <v>13</v>
      </c>
      <c r="G86" t="s">
        <v>10</v>
      </c>
    </row>
    <row r="87" spans="1:7" x14ac:dyDescent="0.2">
      <c r="A87" t="s">
        <v>100</v>
      </c>
      <c r="B87">
        <v>18</v>
      </c>
      <c r="C87">
        <v>83</v>
      </c>
      <c r="D87">
        <v>1494</v>
      </c>
      <c r="E87" t="s">
        <v>15</v>
      </c>
      <c r="F87" t="s">
        <v>13</v>
      </c>
      <c r="G87" t="s">
        <v>10</v>
      </c>
    </row>
    <row r="88" spans="1:7" x14ac:dyDescent="0.2">
      <c r="A88" t="s">
        <v>101</v>
      </c>
      <c r="B88">
        <v>26</v>
      </c>
      <c r="C88">
        <v>69</v>
      </c>
      <c r="D88">
        <v>1794</v>
      </c>
      <c r="E88" t="s">
        <v>8</v>
      </c>
      <c r="F88" t="s">
        <v>13</v>
      </c>
      <c r="G88" t="s">
        <v>10</v>
      </c>
    </row>
    <row r="89" spans="1:7" x14ac:dyDescent="0.2">
      <c r="A89" t="s">
        <v>102</v>
      </c>
      <c r="B89">
        <v>44</v>
      </c>
      <c r="C89">
        <v>85</v>
      </c>
      <c r="D89">
        <v>3740</v>
      </c>
      <c r="E89" t="s">
        <v>12</v>
      </c>
      <c r="F89" t="s">
        <v>13</v>
      </c>
      <c r="G89" t="s">
        <v>10</v>
      </c>
    </row>
    <row r="90" spans="1:7" x14ac:dyDescent="0.2">
      <c r="A90" t="s">
        <v>103</v>
      </c>
      <c r="B90">
        <v>34</v>
      </c>
      <c r="C90">
        <v>45</v>
      </c>
      <c r="D90">
        <v>1530</v>
      </c>
      <c r="E90" t="s">
        <v>8</v>
      </c>
      <c r="F90" t="s">
        <v>18</v>
      </c>
      <c r="G90" t="s">
        <v>10</v>
      </c>
    </row>
    <row r="91" spans="1:7" x14ac:dyDescent="0.2">
      <c r="A91" t="s">
        <v>104</v>
      </c>
      <c r="B91">
        <v>10</v>
      </c>
      <c r="C91">
        <v>76</v>
      </c>
      <c r="D91">
        <v>760</v>
      </c>
      <c r="E91" t="s">
        <v>15</v>
      </c>
      <c r="F91" t="s">
        <v>13</v>
      </c>
      <c r="G91" t="s">
        <v>10</v>
      </c>
    </row>
    <row r="92" spans="1:7" x14ac:dyDescent="0.2">
      <c r="A92" t="s">
        <v>105</v>
      </c>
      <c r="B92">
        <v>36</v>
      </c>
      <c r="C92">
        <v>63</v>
      </c>
      <c r="D92">
        <v>2268</v>
      </c>
      <c r="E92" t="s">
        <v>12</v>
      </c>
      <c r="F92" t="s">
        <v>13</v>
      </c>
      <c r="G92" t="s">
        <v>10</v>
      </c>
    </row>
    <row r="93" spans="1:7" x14ac:dyDescent="0.2">
      <c r="A93" t="s">
        <v>106</v>
      </c>
      <c r="B93">
        <v>14</v>
      </c>
      <c r="C93">
        <v>85</v>
      </c>
      <c r="D93">
        <v>1190</v>
      </c>
      <c r="E93" t="s">
        <v>12</v>
      </c>
      <c r="F93" t="s">
        <v>9</v>
      </c>
      <c r="G93" t="s">
        <v>10</v>
      </c>
    </row>
    <row r="94" spans="1:7" x14ac:dyDescent="0.2">
      <c r="A94" t="s">
        <v>107</v>
      </c>
      <c r="B94">
        <v>31</v>
      </c>
      <c r="C94">
        <v>92</v>
      </c>
      <c r="D94">
        <v>2852</v>
      </c>
      <c r="E94" t="s">
        <v>15</v>
      </c>
      <c r="F94" t="s">
        <v>13</v>
      </c>
      <c r="G94" t="s">
        <v>10</v>
      </c>
    </row>
    <row r="95" spans="1:7" x14ac:dyDescent="0.2">
      <c r="A95" t="s">
        <v>108</v>
      </c>
      <c r="B95">
        <v>48</v>
      </c>
      <c r="C95">
        <v>99</v>
      </c>
      <c r="D95">
        <v>4752</v>
      </c>
      <c r="E95" t="s">
        <v>12</v>
      </c>
      <c r="F95" t="s">
        <v>18</v>
      </c>
      <c r="G95" t="s">
        <v>10</v>
      </c>
    </row>
    <row r="96" spans="1:7" x14ac:dyDescent="0.2">
      <c r="A96" t="s">
        <v>109</v>
      </c>
      <c r="B96">
        <v>15</v>
      </c>
      <c r="C96">
        <v>102</v>
      </c>
      <c r="D96">
        <v>1530</v>
      </c>
      <c r="E96" t="s">
        <v>8</v>
      </c>
      <c r="F96" t="s">
        <v>18</v>
      </c>
      <c r="G96" t="s">
        <v>10</v>
      </c>
    </row>
    <row r="97" spans="1:7" x14ac:dyDescent="0.2">
      <c r="A97" t="s">
        <v>110</v>
      </c>
      <c r="B97">
        <v>8</v>
      </c>
      <c r="C97">
        <v>71</v>
      </c>
      <c r="D97">
        <v>568</v>
      </c>
      <c r="E97" t="s">
        <v>12</v>
      </c>
      <c r="F97" t="s">
        <v>18</v>
      </c>
      <c r="G97" t="s">
        <v>26</v>
      </c>
    </row>
    <row r="98" spans="1:7" x14ac:dyDescent="0.2">
      <c r="A98" t="s">
        <v>111</v>
      </c>
      <c r="B98">
        <v>14</v>
      </c>
      <c r="C98">
        <v>72</v>
      </c>
      <c r="D98">
        <v>1008</v>
      </c>
      <c r="E98" t="s">
        <v>15</v>
      </c>
      <c r="F98" t="s">
        <v>18</v>
      </c>
      <c r="G98" t="s">
        <v>10</v>
      </c>
    </row>
    <row r="99" spans="1:7" x14ac:dyDescent="0.2">
      <c r="A99" t="s">
        <v>112</v>
      </c>
      <c r="B99">
        <v>23</v>
      </c>
      <c r="C99">
        <v>106</v>
      </c>
      <c r="D99">
        <v>2438</v>
      </c>
      <c r="E99" t="s">
        <v>12</v>
      </c>
      <c r="F99" t="s">
        <v>13</v>
      </c>
      <c r="G99" t="s">
        <v>10</v>
      </c>
    </row>
    <row r="100" spans="1:7" x14ac:dyDescent="0.2">
      <c r="A100" t="s">
        <v>113</v>
      </c>
      <c r="B100">
        <v>57</v>
      </c>
      <c r="C100">
        <v>57</v>
      </c>
      <c r="D100">
        <v>3249</v>
      </c>
      <c r="E100" t="s">
        <v>8</v>
      </c>
      <c r="F100" t="s">
        <v>13</v>
      </c>
      <c r="G100" t="s">
        <v>10</v>
      </c>
    </row>
    <row r="101" spans="1:7" x14ac:dyDescent="0.2">
      <c r="A101" t="s">
        <v>114</v>
      </c>
      <c r="B101">
        <v>40</v>
      </c>
      <c r="C101">
        <v>64</v>
      </c>
      <c r="D101">
        <v>2560</v>
      </c>
      <c r="E101" t="s">
        <v>15</v>
      </c>
      <c r="F101" t="s">
        <v>18</v>
      </c>
      <c r="G101" t="s">
        <v>10</v>
      </c>
    </row>
    <row r="102" spans="1:7" x14ac:dyDescent="0.2">
      <c r="A102" t="s">
        <v>115</v>
      </c>
      <c r="B102">
        <v>21</v>
      </c>
      <c r="C102">
        <v>93</v>
      </c>
      <c r="D102">
        <v>1953</v>
      </c>
      <c r="E102" t="s">
        <v>12</v>
      </c>
      <c r="F102" t="s">
        <v>18</v>
      </c>
      <c r="G102" t="s">
        <v>10</v>
      </c>
    </row>
    <row r="103" spans="1:7" x14ac:dyDescent="0.2">
      <c r="A103" t="s">
        <v>116</v>
      </c>
      <c r="B103">
        <v>16</v>
      </c>
      <c r="C103">
        <v>97</v>
      </c>
      <c r="D103">
        <v>1552</v>
      </c>
      <c r="E103" t="s">
        <v>12</v>
      </c>
      <c r="F103" t="s">
        <v>13</v>
      </c>
      <c r="G103" t="s">
        <v>10</v>
      </c>
    </row>
    <row r="104" spans="1:7" x14ac:dyDescent="0.2">
      <c r="A104" t="s">
        <v>117</v>
      </c>
      <c r="B104">
        <v>45</v>
      </c>
      <c r="C104">
        <v>106</v>
      </c>
      <c r="D104">
        <v>4770</v>
      </c>
      <c r="E104" t="s">
        <v>12</v>
      </c>
      <c r="F104" t="s">
        <v>18</v>
      </c>
      <c r="G104" t="s">
        <v>10</v>
      </c>
    </row>
    <row r="105" spans="1:7" x14ac:dyDescent="0.2">
      <c r="A105" t="s">
        <v>118</v>
      </c>
      <c r="B105">
        <v>18</v>
      </c>
      <c r="C105">
        <v>85</v>
      </c>
      <c r="D105">
        <v>1530</v>
      </c>
      <c r="E105" t="s">
        <v>12</v>
      </c>
      <c r="F105" t="s">
        <v>9</v>
      </c>
      <c r="G105" t="s">
        <v>10</v>
      </c>
    </row>
    <row r="106" spans="1:7" x14ac:dyDescent="0.2">
      <c r="A106" t="s">
        <v>119</v>
      </c>
      <c r="B106">
        <v>47</v>
      </c>
      <c r="C106">
        <v>63</v>
      </c>
      <c r="D106">
        <v>2961</v>
      </c>
      <c r="E106" t="s">
        <v>12</v>
      </c>
      <c r="F106" t="s">
        <v>18</v>
      </c>
      <c r="G106" t="s">
        <v>10</v>
      </c>
    </row>
    <row r="107" spans="1:7" x14ac:dyDescent="0.2">
      <c r="A107" t="s">
        <v>120</v>
      </c>
      <c r="B107">
        <v>53</v>
      </c>
      <c r="C107">
        <v>71</v>
      </c>
      <c r="D107">
        <v>3763</v>
      </c>
      <c r="E107" t="s">
        <v>15</v>
      </c>
      <c r="F107" t="s">
        <v>18</v>
      </c>
      <c r="G107" t="s">
        <v>10</v>
      </c>
    </row>
    <row r="108" spans="1:7" x14ac:dyDescent="0.2">
      <c r="A108" t="s">
        <v>121</v>
      </c>
      <c r="B108">
        <v>24</v>
      </c>
      <c r="C108">
        <v>86</v>
      </c>
      <c r="D108">
        <v>2064</v>
      </c>
      <c r="E108" t="s">
        <v>15</v>
      </c>
      <c r="F108" t="s">
        <v>9</v>
      </c>
      <c r="G108" t="s">
        <v>10</v>
      </c>
    </row>
    <row r="109" spans="1:7" x14ac:dyDescent="0.2">
      <c r="A109" t="s">
        <v>122</v>
      </c>
      <c r="B109">
        <v>26</v>
      </c>
      <c r="C109">
        <v>62</v>
      </c>
      <c r="D109">
        <v>1612</v>
      </c>
      <c r="E109" t="s">
        <v>15</v>
      </c>
      <c r="F109" t="s">
        <v>9</v>
      </c>
      <c r="G109" t="s">
        <v>10</v>
      </c>
    </row>
    <row r="110" spans="1:7" x14ac:dyDescent="0.2">
      <c r="A110" t="s">
        <v>123</v>
      </c>
      <c r="B110">
        <v>25</v>
      </c>
      <c r="C110">
        <v>105</v>
      </c>
      <c r="D110">
        <v>2625</v>
      </c>
      <c r="E110" t="s">
        <v>8</v>
      </c>
      <c r="F110" t="s">
        <v>13</v>
      </c>
      <c r="G110" t="s">
        <v>10</v>
      </c>
    </row>
    <row r="111" spans="1:7" x14ac:dyDescent="0.2">
      <c r="A111" t="s">
        <v>124</v>
      </c>
      <c r="B111">
        <v>45</v>
      </c>
      <c r="C111">
        <v>66</v>
      </c>
      <c r="D111">
        <v>2970</v>
      </c>
      <c r="E111" t="s">
        <v>15</v>
      </c>
      <c r="F111" t="s">
        <v>13</v>
      </c>
      <c r="G111" t="s">
        <v>10</v>
      </c>
    </row>
    <row r="112" spans="1:7" x14ac:dyDescent="0.2">
      <c r="A112" t="s">
        <v>125</v>
      </c>
      <c r="B112">
        <v>41</v>
      </c>
      <c r="C112">
        <v>41</v>
      </c>
      <c r="D112">
        <v>1681</v>
      </c>
      <c r="E112" t="s">
        <v>15</v>
      </c>
      <c r="F112" t="s">
        <v>9</v>
      </c>
      <c r="G112" t="s">
        <v>10</v>
      </c>
    </row>
    <row r="113" spans="1:7" x14ac:dyDescent="0.2">
      <c r="A113" t="s">
        <v>126</v>
      </c>
      <c r="B113">
        <v>29</v>
      </c>
      <c r="C113">
        <v>56</v>
      </c>
      <c r="D113">
        <v>1624</v>
      </c>
      <c r="E113" t="s">
        <v>15</v>
      </c>
      <c r="F113" t="s">
        <v>9</v>
      </c>
      <c r="G113" t="s">
        <v>10</v>
      </c>
    </row>
    <row r="114" spans="1:7" x14ac:dyDescent="0.2">
      <c r="A114" t="s">
        <v>127</v>
      </c>
      <c r="B114">
        <v>15</v>
      </c>
      <c r="C114">
        <v>72</v>
      </c>
      <c r="D114">
        <v>1080</v>
      </c>
      <c r="E114" t="s">
        <v>12</v>
      </c>
      <c r="F114" t="s">
        <v>13</v>
      </c>
      <c r="G114" t="s">
        <v>10</v>
      </c>
    </row>
    <row r="115" spans="1:7" x14ac:dyDescent="0.2">
      <c r="A115" t="s">
        <v>128</v>
      </c>
      <c r="B115">
        <v>45</v>
      </c>
      <c r="C115">
        <v>48</v>
      </c>
      <c r="D115">
        <v>2160</v>
      </c>
      <c r="E115" t="s">
        <v>12</v>
      </c>
      <c r="F115" t="s">
        <v>18</v>
      </c>
      <c r="G115" t="s">
        <v>10</v>
      </c>
    </row>
    <row r="116" spans="1:7" x14ac:dyDescent="0.2">
      <c r="A116" t="s">
        <v>129</v>
      </c>
      <c r="B116">
        <v>1</v>
      </c>
      <c r="C116">
        <v>82</v>
      </c>
      <c r="D116">
        <v>82</v>
      </c>
      <c r="E116" t="s">
        <v>12</v>
      </c>
      <c r="F116" t="s">
        <v>9</v>
      </c>
      <c r="G116" t="s">
        <v>26</v>
      </c>
    </row>
    <row r="117" spans="1:7" x14ac:dyDescent="0.2">
      <c r="A117" t="s">
        <v>130</v>
      </c>
      <c r="B117">
        <v>25</v>
      </c>
      <c r="C117">
        <v>87</v>
      </c>
      <c r="D117">
        <v>2175</v>
      </c>
      <c r="E117" t="s">
        <v>12</v>
      </c>
      <c r="F117" t="s">
        <v>13</v>
      </c>
      <c r="G117" t="s">
        <v>10</v>
      </c>
    </row>
    <row r="118" spans="1:7" x14ac:dyDescent="0.2">
      <c r="A118" t="s">
        <v>131</v>
      </c>
      <c r="B118">
        <v>7</v>
      </c>
      <c r="C118">
        <v>78</v>
      </c>
      <c r="D118">
        <v>546</v>
      </c>
      <c r="E118" t="s">
        <v>12</v>
      </c>
      <c r="F118" t="s">
        <v>18</v>
      </c>
      <c r="G118" t="s">
        <v>26</v>
      </c>
    </row>
    <row r="119" spans="1:7" x14ac:dyDescent="0.2">
      <c r="A119" t="s">
        <v>132</v>
      </c>
      <c r="B119">
        <v>9</v>
      </c>
      <c r="C119">
        <v>81</v>
      </c>
      <c r="D119">
        <v>729</v>
      </c>
      <c r="E119" t="s">
        <v>12</v>
      </c>
      <c r="F119" t="s">
        <v>9</v>
      </c>
      <c r="G119" t="s">
        <v>26</v>
      </c>
    </row>
    <row r="120" spans="1:7" x14ac:dyDescent="0.2">
      <c r="A120" t="s">
        <v>133</v>
      </c>
      <c r="B120">
        <v>24</v>
      </c>
      <c r="C120">
        <v>65</v>
      </c>
      <c r="D120">
        <v>1560</v>
      </c>
      <c r="E120" t="s">
        <v>8</v>
      </c>
      <c r="F120" t="s">
        <v>18</v>
      </c>
      <c r="G120" t="s">
        <v>10</v>
      </c>
    </row>
    <row r="121" spans="1:7" x14ac:dyDescent="0.2">
      <c r="A121" t="s">
        <v>134</v>
      </c>
      <c r="B121">
        <v>1</v>
      </c>
      <c r="C121">
        <v>89</v>
      </c>
      <c r="D121">
        <v>89</v>
      </c>
      <c r="E121" t="s">
        <v>15</v>
      </c>
      <c r="F121" t="s">
        <v>13</v>
      </c>
      <c r="G121" t="s">
        <v>10</v>
      </c>
    </row>
    <row r="122" spans="1:7" x14ac:dyDescent="0.2">
      <c r="A122" t="s">
        <v>135</v>
      </c>
      <c r="B122">
        <v>44</v>
      </c>
      <c r="C122">
        <v>64</v>
      </c>
      <c r="D122">
        <v>2816</v>
      </c>
      <c r="E122" t="s">
        <v>12</v>
      </c>
      <c r="F122" t="s">
        <v>9</v>
      </c>
      <c r="G122" t="s">
        <v>10</v>
      </c>
    </row>
    <row r="123" spans="1:7" x14ac:dyDescent="0.2">
      <c r="A123" t="s">
        <v>136</v>
      </c>
      <c r="B123">
        <v>8</v>
      </c>
      <c r="C123">
        <v>63</v>
      </c>
      <c r="D123">
        <v>504</v>
      </c>
      <c r="E123" t="s">
        <v>12</v>
      </c>
      <c r="F123" t="s">
        <v>18</v>
      </c>
      <c r="G123" t="s">
        <v>26</v>
      </c>
    </row>
    <row r="124" spans="1:7" x14ac:dyDescent="0.2">
      <c r="A124" t="s">
        <v>137</v>
      </c>
      <c r="B124">
        <v>24</v>
      </c>
      <c r="C124">
        <v>52</v>
      </c>
      <c r="D124">
        <v>1248</v>
      </c>
      <c r="E124" t="s">
        <v>12</v>
      </c>
      <c r="F124" t="s">
        <v>9</v>
      </c>
      <c r="G124" t="s">
        <v>10</v>
      </c>
    </row>
    <row r="125" spans="1:7" x14ac:dyDescent="0.2">
      <c r="A125" t="s">
        <v>138</v>
      </c>
      <c r="B125">
        <v>11</v>
      </c>
      <c r="C125">
        <v>99</v>
      </c>
      <c r="D125">
        <v>1089</v>
      </c>
      <c r="E125" t="s">
        <v>12</v>
      </c>
      <c r="F125" t="s">
        <v>18</v>
      </c>
      <c r="G125" t="s">
        <v>26</v>
      </c>
    </row>
    <row r="126" spans="1:7" x14ac:dyDescent="0.2">
      <c r="A126" t="s">
        <v>139</v>
      </c>
      <c r="B126">
        <v>51</v>
      </c>
      <c r="C126">
        <v>46</v>
      </c>
      <c r="D126">
        <v>2346</v>
      </c>
      <c r="E126" t="s">
        <v>12</v>
      </c>
      <c r="F126" t="s">
        <v>13</v>
      </c>
      <c r="G126" t="s">
        <v>10</v>
      </c>
    </row>
    <row r="127" spans="1:7" x14ac:dyDescent="0.2">
      <c r="A127" t="s">
        <v>140</v>
      </c>
      <c r="B127">
        <v>17</v>
      </c>
      <c r="C127">
        <v>96</v>
      </c>
      <c r="D127">
        <v>1632</v>
      </c>
      <c r="E127" t="s">
        <v>8</v>
      </c>
      <c r="F127" t="s">
        <v>13</v>
      </c>
      <c r="G127" t="s">
        <v>10</v>
      </c>
    </row>
    <row r="128" spans="1:7" x14ac:dyDescent="0.2">
      <c r="A128" t="s">
        <v>141</v>
      </c>
      <c r="B128">
        <v>8</v>
      </c>
      <c r="C128">
        <v>75</v>
      </c>
      <c r="D128">
        <v>600</v>
      </c>
      <c r="E128" t="s">
        <v>12</v>
      </c>
      <c r="F128" t="s">
        <v>9</v>
      </c>
      <c r="G128" t="s">
        <v>26</v>
      </c>
    </row>
    <row r="129" spans="1:7" x14ac:dyDescent="0.2">
      <c r="A129" t="s">
        <v>142</v>
      </c>
      <c r="B129">
        <v>35</v>
      </c>
      <c r="C129">
        <v>84</v>
      </c>
      <c r="D129">
        <v>2940</v>
      </c>
      <c r="E129" t="s">
        <v>8</v>
      </c>
      <c r="F129" t="s">
        <v>18</v>
      </c>
      <c r="G129" t="s">
        <v>10</v>
      </c>
    </row>
    <row r="130" spans="1:7" x14ac:dyDescent="0.2">
      <c r="A130" t="s">
        <v>143</v>
      </c>
      <c r="B130">
        <v>35</v>
      </c>
      <c r="C130">
        <v>59</v>
      </c>
      <c r="D130">
        <v>2065</v>
      </c>
      <c r="E130" t="s">
        <v>8</v>
      </c>
      <c r="F130" t="s">
        <v>9</v>
      </c>
      <c r="G130" t="s">
        <v>10</v>
      </c>
    </row>
    <row r="131" spans="1:7" x14ac:dyDescent="0.2">
      <c r="A131" t="s">
        <v>144</v>
      </c>
      <c r="B131">
        <v>33</v>
      </c>
      <c r="C131">
        <v>104</v>
      </c>
      <c r="D131">
        <v>3432</v>
      </c>
      <c r="E131" t="s">
        <v>12</v>
      </c>
      <c r="F131" t="s">
        <v>9</v>
      </c>
      <c r="G131" t="s">
        <v>10</v>
      </c>
    </row>
    <row r="132" spans="1:7" x14ac:dyDescent="0.2">
      <c r="A132" t="s">
        <v>145</v>
      </c>
      <c r="B132">
        <v>59</v>
      </c>
      <c r="C132">
        <v>47</v>
      </c>
      <c r="D132">
        <v>2773</v>
      </c>
      <c r="E132" t="s">
        <v>15</v>
      </c>
      <c r="F132" t="s">
        <v>18</v>
      </c>
      <c r="G132" t="s">
        <v>10</v>
      </c>
    </row>
    <row r="133" spans="1:7" x14ac:dyDescent="0.2">
      <c r="A133" t="s">
        <v>146</v>
      </c>
      <c r="B133">
        <v>5</v>
      </c>
      <c r="C133">
        <v>55</v>
      </c>
      <c r="D133">
        <v>275</v>
      </c>
      <c r="E133" t="s">
        <v>15</v>
      </c>
      <c r="F133" t="s">
        <v>18</v>
      </c>
      <c r="G133" t="s">
        <v>10</v>
      </c>
    </row>
    <row r="134" spans="1:7" x14ac:dyDescent="0.2">
      <c r="A134" t="s">
        <v>147</v>
      </c>
      <c r="B134">
        <v>42</v>
      </c>
      <c r="C134">
        <v>53</v>
      </c>
      <c r="D134">
        <v>2226</v>
      </c>
      <c r="E134" t="s">
        <v>12</v>
      </c>
      <c r="F134" t="s">
        <v>18</v>
      </c>
      <c r="G134" t="s">
        <v>10</v>
      </c>
    </row>
    <row r="135" spans="1:7" x14ac:dyDescent="0.2">
      <c r="A135" t="s">
        <v>148</v>
      </c>
      <c r="B135">
        <v>39</v>
      </c>
      <c r="C135">
        <v>115</v>
      </c>
      <c r="D135">
        <v>4485</v>
      </c>
      <c r="E135" t="s">
        <v>12</v>
      </c>
      <c r="F135" t="s">
        <v>13</v>
      </c>
      <c r="G135" t="s">
        <v>10</v>
      </c>
    </row>
    <row r="136" spans="1:7" x14ac:dyDescent="0.2">
      <c r="A136" t="s">
        <v>149</v>
      </c>
      <c r="B136">
        <v>58</v>
      </c>
      <c r="C136">
        <v>54</v>
      </c>
      <c r="D136">
        <v>3132</v>
      </c>
      <c r="E136" t="s">
        <v>15</v>
      </c>
      <c r="F136" t="s">
        <v>9</v>
      </c>
      <c r="G136" t="s">
        <v>10</v>
      </c>
    </row>
    <row r="137" spans="1:7" x14ac:dyDescent="0.2">
      <c r="A137" t="s">
        <v>150</v>
      </c>
      <c r="B137">
        <v>41</v>
      </c>
      <c r="C137">
        <v>105</v>
      </c>
      <c r="D137">
        <v>4305</v>
      </c>
      <c r="E137" t="s">
        <v>15</v>
      </c>
      <c r="F137" t="s">
        <v>9</v>
      </c>
      <c r="G137" t="s">
        <v>10</v>
      </c>
    </row>
    <row r="138" spans="1:7" x14ac:dyDescent="0.2">
      <c r="A138" t="s">
        <v>151</v>
      </c>
      <c r="B138">
        <v>28</v>
      </c>
      <c r="C138">
        <v>71</v>
      </c>
      <c r="D138">
        <v>1988</v>
      </c>
      <c r="E138" t="s">
        <v>8</v>
      </c>
      <c r="F138" t="s">
        <v>13</v>
      </c>
      <c r="G138" t="s">
        <v>10</v>
      </c>
    </row>
    <row r="139" spans="1:7" x14ac:dyDescent="0.2">
      <c r="A139" t="s">
        <v>152</v>
      </c>
      <c r="B139">
        <v>7</v>
      </c>
      <c r="C139">
        <v>102</v>
      </c>
      <c r="D139">
        <v>714</v>
      </c>
      <c r="E139" t="s">
        <v>8</v>
      </c>
      <c r="F139" t="s">
        <v>18</v>
      </c>
      <c r="G139" t="s">
        <v>10</v>
      </c>
    </row>
    <row r="140" spans="1:7" x14ac:dyDescent="0.2">
      <c r="A140" t="s">
        <v>153</v>
      </c>
      <c r="B140">
        <v>9</v>
      </c>
      <c r="C140">
        <v>90</v>
      </c>
      <c r="D140">
        <v>810</v>
      </c>
      <c r="E140" t="s">
        <v>15</v>
      </c>
      <c r="F140" t="s">
        <v>13</v>
      </c>
      <c r="G140" t="s">
        <v>10</v>
      </c>
    </row>
    <row r="141" spans="1:7" x14ac:dyDescent="0.2">
      <c r="A141" t="s">
        <v>154</v>
      </c>
      <c r="B141">
        <v>8</v>
      </c>
      <c r="C141">
        <v>64</v>
      </c>
      <c r="D141">
        <v>512</v>
      </c>
      <c r="E141" t="s">
        <v>8</v>
      </c>
      <c r="F141" t="s">
        <v>13</v>
      </c>
      <c r="G141" t="s">
        <v>10</v>
      </c>
    </row>
    <row r="142" spans="1:7" x14ac:dyDescent="0.2">
      <c r="A142" t="s">
        <v>155</v>
      </c>
      <c r="B142">
        <v>12</v>
      </c>
      <c r="C142">
        <v>97</v>
      </c>
      <c r="D142">
        <v>1164</v>
      </c>
      <c r="E142" t="s">
        <v>15</v>
      </c>
      <c r="F142" t="s">
        <v>13</v>
      </c>
      <c r="G142" t="s">
        <v>10</v>
      </c>
    </row>
    <row r="143" spans="1:7" x14ac:dyDescent="0.2">
      <c r="A143" t="s">
        <v>156</v>
      </c>
      <c r="B143">
        <v>34</v>
      </c>
      <c r="C143">
        <v>102</v>
      </c>
      <c r="D143">
        <v>3468</v>
      </c>
      <c r="E143" t="s">
        <v>15</v>
      </c>
      <c r="F143" t="s">
        <v>9</v>
      </c>
      <c r="G143" t="s">
        <v>10</v>
      </c>
    </row>
    <row r="144" spans="1:7" x14ac:dyDescent="0.2">
      <c r="A144" t="s">
        <v>157</v>
      </c>
      <c r="B144">
        <v>33</v>
      </c>
      <c r="C144">
        <v>101</v>
      </c>
      <c r="D144">
        <v>3333</v>
      </c>
      <c r="E144" t="s">
        <v>15</v>
      </c>
      <c r="F144" t="s">
        <v>13</v>
      </c>
      <c r="G144" t="s">
        <v>10</v>
      </c>
    </row>
    <row r="145" spans="1:7" x14ac:dyDescent="0.2">
      <c r="A145" t="s">
        <v>158</v>
      </c>
      <c r="B145">
        <v>48</v>
      </c>
      <c r="C145">
        <v>61</v>
      </c>
      <c r="D145">
        <v>2928</v>
      </c>
      <c r="E145" t="s">
        <v>12</v>
      </c>
      <c r="F145" t="s">
        <v>9</v>
      </c>
      <c r="G145" t="s">
        <v>10</v>
      </c>
    </row>
    <row r="146" spans="1:7" x14ac:dyDescent="0.2">
      <c r="A146" t="s">
        <v>159</v>
      </c>
      <c r="B146">
        <v>55</v>
      </c>
      <c r="C146">
        <v>97</v>
      </c>
      <c r="D146">
        <v>5335</v>
      </c>
      <c r="E146" t="s">
        <v>15</v>
      </c>
      <c r="F146" t="s">
        <v>9</v>
      </c>
      <c r="G146" t="s">
        <v>10</v>
      </c>
    </row>
    <row r="147" spans="1:7" x14ac:dyDescent="0.2">
      <c r="A147" t="s">
        <v>160</v>
      </c>
      <c r="B147">
        <v>23</v>
      </c>
      <c r="C147">
        <v>97</v>
      </c>
      <c r="D147">
        <v>2231</v>
      </c>
      <c r="E147" t="s">
        <v>15</v>
      </c>
      <c r="F147" t="s">
        <v>9</v>
      </c>
      <c r="G147" t="s">
        <v>10</v>
      </c>
    </row>
    <row r="148" spans="1:7" x14ac:dyDescent="0.2">
      <c r="A148" t="s">
        <v>161</v>
      </c>
      <c r="B148">
        <v>24</v>
      </c>
      <c r="C148">
        <v>88</v>
      </c>
      <c r="D148">
        <v>2112</v>
      </c>
      <c r="E148" t="s">
        <v>12</v>
      </c>
      <c r="F148" t="s">
        <v>18</v>
      </c>
      <c r="G148" t="s">
        <v>10</v>
      </c>
    </row>
    <row r="149" spans="1:7" x14ac:dyDescent="0.2">
      <c r="A149" t="s">
        <v>162</v>
      </c>
      <c r="B149">
        <v>37</v>
      </c>
      <c r="C149">
        <v>91</v>
      </c>
      <c r="D149">
        <v>3367</v>
      </c>
      <c r="E149" t="s">
        <v>8</v>
      </c>
      <c r="F149" t="s">
        <v>9</v>
      </c>
      <c r="G149" t="s">
        <v>10</v>
      </c>
    </row>
    <row r="150" spans="1:7" x14ac:dyDescent="0.2">
      <c r="A150" t="s">
        <v>163</v>
      </c>
      <c r="B150">
        <v>35</v>
      </c>
      <c r="C150">
        <v>81</v>
      </c>
      <c r="D150">
        <v>2835</v>
      </c>
      <c r="E150" t="s">
        <v>12</v>
      </c>
      <c r="F150" t="s">
        <v>9</v>
      </c>
      <c r="G150" t="s">
        <v>10</v>
      </c>
    </row>
    <row r="151" spans="1:7" x14ac:dyDescent="0.2">
      <c r="A151" t="s">
        <v>164</v>
      </c>
      <c r="B151">
        <v>44</v>
      </c>
      <c r="C151">
        <v>109</v>
      </c>
      <c r="D151">
        <v>4796</v>
      </c>
      <c r="E151" t="s">
        <v>15</v>
      </c>
      <c r="F151" t="s">
        <v>18</v>
      </c>
      <c r="G151" t="s">
        <v>10</v>
      </c>
    </row>
    <row r="152" spans="1:7" x14ac:dyDescent="0.2">
      <c r="A152" t="s">
        <v>165</v>
      </c>
      <c r="B152">
        <v>40</v>
      </c>
      <c r="C152">
        <v>54</v>
      </c>
      <c r="D152">
        <v>2160</v>
      </c>
      <c r="E152" t="s">
        <v>15</v>
      </c>
      <c r="F152" t="s">
        <v>9</v>
      </c>
      <c r="G152" t="s">
        <v>10</v>
      </c>
    </row>
    <row r="153" spans="1:7" x14ac:dyDescent="0.2">
      <c r="A153" t="s">
        <v>166</v>
      </c>
      <c r="B153">
        <v>22</v>
      </c>
      <c r="C153">
        <v>93</v>
      </c>
      <c r="D153">
        <v>2046</v>
      </c>
      <c r="E153" t="s">
        <v>15</v>
      </c>
      <c r="F153" t="s">
        <v>13</v>
      </c>
      <c r="G153" t="s">
        <v>10</v>
      </c>
    </row>
    <row r="154" spans="1:7" x14ac:dyDescent="0.2">
      <c r="A154" t="s">
        <v>167</v>
      </c>
      <c r="B154">
        <v>27</v>
      </c>
      <c r="C154">
        <v>99</v>
      </c>
      <c r="D154">
        <v>2673</v>
      </c>
      <c r="E154" t="s">
        <v>12</v>
      </c>
      <c r="F154" t="s">
        <v>13</v>
      </c>
      <c r="G154" t="s">
        <v>10</v>
      </c>
    </row>
    <row r="155" spans="1:7" x14ac:dyDescent="0.2">
      <c r="A155" t="s">
        <v>168</v>
      </c>
      <c r="B155">
        <v>35</v>
      </c>
      <c r="C155">
        <v>47</v>
      </c>
      <c r="D155">
        <v>1645</v>
      </c>
      <c r="E155" t="s">
        <v>8</v>
      </c>
      <c r="F155" t="s">
        <v>9</v>
      </c>
      <c r="G155" t="s">
        <v>10</v>
      </c>
    </row>
    <row r="156" spans="1:7" x14ac:dyDescent="0.2">
      <c r="A156" t="s">
        <v>169</v>
      </c>
      <c r="B156">
        <v>1</v>
      </c>
      <c r="C156">
        <v>92</v>
      </c>
      <c r="D156">
        <v>92</v>
      </c>
      <c r="E156" t="s">
        <v>15</v>
      </c>
      <c r="F156" t="s">
        <v>18</v>
      </c>
      <c r="G156" t="s">
        <v>10</v>
      </c>
    </row>
    <row r="157" spans="1:7" x14ac:dyDescent="0.2">
      <c r="A157" t="s">
        <v>170</v>
      </c>
      <c r="B157">
        <v>35</v>
      </c>
      <c r="C157">
        <v>99</v>
      </c>
      <c r="D157">
        <v>3465</v>
      </c>
      <c r="E157" t="s">
        <v>12</v>
      </c>
      <c r="F157" t="s">
        <v>13</v>
      </c>
      <c r="G157" t="s">
        <v>10</v>
      </c>
    </row>
    <row r="158" spans="1:7" x14ac:dyDescent="0.2">
      <c r="A158" t="s">
        <v>171</v>
      </c>
      <c r="B158">
        <v>37</v>
      </c>
      <c r="C158">
        <v>44</v>
      </c>
      <c r="D158">
        <v>1628</v>
      </c>
      <c r="E158" t="s">
        <v>12</v>
      </c>
      <c r="F158" t="s">
        <v>18</v>
      </c>
      <c r="G158" t="s">
        <v>10</v>
      </c>
    </row>
    <row r="159" spans="1:7" x14ac:dyDescent="0.2">
      <c r="A159" t="s">
        <v>172</v>
      </c>
      <c r="B159">
        <v>47</v>
      </c>
      <c r="C159">
        <v>107</v>
      </c>
      <c r="D159">
        <v>5029</v>
      </c>
      <c r="E159" t="s">
        <v>15</v>
      </c>
      <c r="F159" t="s">
        <v>18</v>
      </c>
      <c r="G159" t="s">
        <v>10</v>
      </c>
    </row>
    <row r="160" spans="1:7" x14ac:dyDescent="0.2">
      <c r="A160" t="s">
        <v>173</v>
      </c>
      <c r="B160">
        <v>14</v>
      </c>
      <c r="C160">
        <v>45</v>
      </c>
      <c r="D160">
        <v>630</v>
      </c>
      <c r="E160" t="s">
        <v>12</v>
      </c>
      <c r="F160" t="s">
        <v>13</v>
      </c>
      <c r="G160" t="s">
        <v>10</v>
      </c>
    </row>
    <row r="161" spans="1:7" x14ac:dyDescent="0.2">
      <c r="A161" t="s">
        <v>174</v>
      </c>
      <c r="B161">
        <v>3</v>
      </c>
      <c r="C161">
        <v>86</v>
      </c>
      <c r="D161">
        <v>258</v>
      </c>
      <c r="E161" t="s">
        <v>12</v>
      </c>
      <c r="F161" t="s">
        <v>18</v>
      </c>
      <c r="G161" t="s">
        <v>26</v>
      </c>
    </row>
    <row r="162" spans="1:7" x14ac:dyDescent="0.2">
      <c r="A162" t="s">
        <v>175</v>
      </c>
      <c r="B162">
        <v>1</v>
      </c>
      <c r="C162">
        <v>94</v>
      </c>
      <c r="D162">
        <v>94</v>
      </c>
      <c r="E162" t="s">
        <v>15</v>
      </c>
      <c r="F162" t="s">
        <v>13</v>
      </c>
      <c r="G162" t="s">
        <v>10</v>
      </c>
    </row>
    <row r="163" spans="1:7" x14ac:dyDescent="0.2">
      <c r="A163" t="s">
        <v>176</v>
      </c>
      <c r="B163">
        <v>5</v>
      </c>
      <c r="C163">
        <v>79</v>
      </c>
      <c r="D163">
        <v>395</v>
      </c>
      <c r="E163" t="s">
        <v>12</v>
      </c>
      <c r="F163" t="s">
        <v>18</v>
      </c>
      <c r="G163" t="s">
        <v>26</v>
      </c>
    </row>
    <row r="164" spans="1:7" x14ac:dyDescent="0.2">
      <c r="A164" t="s">
        <v>177</v>
      </c>
      <c r="B164">
        <v>26</v>
      </c>
      <c r="C164">
        <v>91</v>
      </c>
      <c r="D164">
        <v>2366</v>
      </c>
      <c r="E164" t="s">
        <v>15</v>
      </c>
      <c r="F164" t="s">
        <v>13</v>
      </c>
      <c r="G164" t="s">
        <v>10</v>
      </c>
    </row>
    <row r="165" spans="1:7" x14ac:dyDescent="0.2">
      <c r="A165" t="s">
        <v>178</v>
      </c>
      <c r="B165">
        <v>55</v>
      </c>
      <c r="C165">
        <v>55</v>
      </c>
      <c r="D165">
        <v>3025</v>
      </c>
      <c r="E165" t="s">
        <v>12</v>
      </c>
      <c r="F165" t="s">
        <v>9</v>
      </c>
      <c r="G165" t="s">
        <v>10</v>
      </c>
    </row>
    <row r="166" spans="1:7" x14ac:dyDescent="0.2">
      <c r="A166" t="s">
        <v>179</v>
      </c>
      <c r="B166">
        <v>14</v>
      </c>
      <c r="C166">
        <v>52</v>
      </c>
      <c r="D166">
        <v>728</v>
      </c>
      <c r="E166" t="s">
        <v>15</v>
      </c>
      <c r="F166" t="s">
        <v>13</v>
      </c>
      <c r="G166" t="s">
        <v>10</v>
      </c>
    </row>
    <row r="167" spans="1:7" x14ac:dyDescent="0.2">
      <c r="A167" t="s">
        <v>180</v>
      </c>
      <c r="B167">
        <v>39</v>
      </c>
      <c r="C167">
        <v>69</v>
      </c>
      <c r="D167">
        <v>2691</v>
      </c>
      <c r="E167" t="s">
        <v>12</v>
      </c>
      <c r="F167" t="s">
        <v>13</v>
      </c>
      <c r="G167" t="s">
        <v>10</v>
      </c>
    </row>
    <row r="168" spans="1:7" x14ac:dyDescent="0.2">
      <c r="A168" t="s">
        <v>181</v>
      </c>
      <c r="B168">
        <v>27</v>
      </c>
      <c r="C168">
        <v>58</v>
      </c>
      <c r="D168">
        <v>1566</v>
      </c>
      <c r="E168" t="s">
        <v>15</v>
      </c>
      <c r="F168" t="s">
        <v>13</v>
      </c>
      <c r="G168" t="s">
        <v>10</v>
      </c>
    </row>
    <row r="169" spans="1:7" x14ac:dyDescent="0.2">
      <c r="A169" t="s">
        <v>182</v>
      </c>
      <c r="B169">
        <v>9</v>
      </c>
      <c r="C169">
        <v>56</v>
      </c>
      <c r="D169">
        <v>504</v>
      </c>
      <c r="E169" t="s">
        <v>12</v>
      </c>
      <c r="F169" t="s">
        <v>13</v>
      </c>
      <c r="G169" t="s">
        <v>26</v>
      </c>
    </row>
    <row r="170" spans="1:7" x14ac:dyDescent="0.2">
      <c r="A170" t="s">
        <v>183</v>
      </c>
      <c r="B170">
        <v>15</v>
      </c>
      <c r="C170">
        <v>102</v>
      </c>
      <c r="D170">
        <v>1530</v>
      </c>
      <c r="E170" t="s">
        <v>15</v>
      </c>
      <c r="F170" t="s">
        <v>18</v>
      </c>
      <c r="G170" t="s">
        <v>10</v>
      </c>
    </row>
    <row r="171" spans="1:7" x14ac:dyDescent="0.2">
      <c r="A171" t="s">
        <v>184</v>
      </c>
      <c r="B171">
        <v>15</v>
      </c>
      <c r="C171">
        <v>58</v>
      </c>
      <c r="D171">
        <v>870</v>
      </c>
      <c r="E171" t="s">
        <v>12</v>
      </c>
      <c r="F171" t="s">
        <v>9</v>
      </c>
      <c r="G171" t="s">
        <v>10</v>
      </c>
    </row>
    <row r="172" spans="1:7" x14ac:dyDescent="0.2">
      <c r="A172" t="s">
        <v>185</v>
      </c>
      <c r="B172">
        <v>26</v>
      </c>
      <c r="C172">
        <v>97</v>
      </c>
      <c r="D172">
        <v>2522</v>
      </c>
      <c r="E172" t="s">
        <v>8</v>
      </c>
      <c r="F172" t="s">
        <v>13</v>
      </c>
      <c r="G172" t="s">
        <v>10</v>
      </c>
    </row>
    <row r="173" spans="1:7" x14ac:dyDescent="0.2">
      <c r="A173" t="s">
        <v>186</v>
      </c>
      <c r="B173">
        <v>42</v>
      </c>
      <c r="C173">
        <v>94</v>
      </c>
      <c r="D173">
        <v>3948</v>
      </c>
      <c r="E173" t="s">
        <v>15</v>
      </c>
      <c r="F173" t="s">
        <v>18</v>
      </c>
      <c r="G173" t="s">
        <v>10</v>
      </c>
    </row>
    <row r="174" spans="1:7" x14ac:dyDescent="0.2">
      <c r="A174" t="s">
        <v>187</v>
      </c>
      <c r="B174">
        <v>13</v>
      </c>
      <c r="C174">
        <v>101</v>
      </c>
      <c r="D174">
        <v>1313</v>
      </c>
      <c r="E174" t="s">
        <v>8</v>
      </c>
      <c r="F174" t="s">
        <v>9</v>
      </c>
      <c r="G174" t="s">
        <v>10</v>
      </c>
    </row>
    <row r="175" spans="1:7" x14ac:dyDescent="0.2">
      <c r="A175" t="s">
        <v>188</v>
      </c>
      <c r="B175">
        <v>51</v>
      </c>
      <c r="C175">
        <v>62</v>
      </c>
      <c r="D175">
        <v>3162</v>
      </c>
      <c r="E175" t="s">
        <v>15</v>
      </c>
      <c r="F175" t="s">
        <v>9</v>
      </c>
      <c r="G175" t="s">
        <v>10</v>
      </c>
    </row>
    <row r="176" spans="1:7" x14ac:dyDescent="0.2">
      <c r="A176" t="s">
        <v>189</v>
      </c>
      <c r="B176">
        <v>32</v>
      </c>
      <c r="C176">
        <v>48</v>
      </c>
      <c r="D176">
        <v>1536</v>
      </c>
      <c r="E176" t="s">
        <v>12</v>
      </c>
      <c r="F176" t="s">
        <v>9</v>
      </c>
      <c r="G176" t="s">
        <v>10</v>
      </c>
    </row>
    <row r="177" spans="1:7" x14ac:dyDescent="0.2">
      <c r="A177" t="s">
        <v>190</v>
      </c>
      <c r="B177">
        <v>39</v>
      </c>
      <c r="C177">
        <v>51</v>
      </c>
      <c r="D177">
        <v>1989</v>
      </c>
      <c r="E177" t="s">
        <v>8</v>
      </c>
      <c r="F177" t="s">
        <v>9</v>
      </c>
      <c r="G177" t="s">
        <v>10</v>
      </c>
    </row>
    <row r="178" spans="1:7" x14ac:dyDescent="0.2">
      <c r="A178" t="s">
        <v>191</v>
      </c>
      <c r="B178">
        <v>49</v>
      </c>
      <c r="C178">
        <v>40</v>
      </c>
      <c r="D178">
        <v>1960</v>
      </c>
      <c r="E178" t="s">
        <v>12</v>
      </c>
      <c r="F178" t="s">
        <v>13</v>
      </c>
      <c r="G178" t="s">
        <v>10</v>
      </c>
    </row>
    <row r="179" spans="1:7" x14ac:dyDescent="0.2">
      <c r="A179" t="s">
        <v>192</v>
      </c>
      <c r="B179">
        <v>52</v>
      </c>
      <c r="C179">
        <v>97</v>
      </c>
      <c r="D179">
        <v>5044</v>
      </c>
      <c r="E179" t="s">
        <v>12</v>
      </c>
      <c r="F179" t="s">
        <v>13</v>
      </c>
      <c r="G179" t="s">
        <v>10</v>
      </c>
    </row>
    <row r="180" spans="1:7" x14ac:dyDescent="0.2">
      <c r="A180" t="s">
        <v>193</v>
      </c>
      <c r="B180">
        <v>32</v>
      </c>
      <c r="C180">
        <v>40</v>
      </c>
      <c r="D180">
        <v>1280</v>
      </c>
      <c r="E180" t="s">
        <v>12</v>
      </c>
      <c r="F180" t="s">
        <v>18</v>
      </c>
      <c r="G180" t="s">
        <v>10</v>
      </c>
    </row>
    <row r="181" spans="1:7" x14ac:dyDescent="0.2">
      <c r="A181" t="s">
        <v>194</v>
      </c>
      <c r="B181">
        <v>4</v>
      </c>
      <c r="C181">
        <v>73</v>
      </c>
      <c r="D181">
        <v>292</v>
      </c>
      <c r="E181" t="s">
        <v>15</v>
      </c>
      <c r="F181" t="s">
        <v>18</v>
      </c>
      <c r="G181" t="s">
        <v>10</v>
      </c>
    </row>
    <row r="182" spans="1:7" x14ac:dyDescent="0.2">
      <c r="A182" t="s">
        <v>195</v>
      </c>
      <c r="B182">
        <v>30</v>
      </c>
      <c r="C182">
        <v>87</v>
      </c>
      <c r="D182">
        <v>2610</v>
      </c>
      <c r="E182" t="s">
        <v>15</v>
      </c>
      <c r="F182" t="s">
        <v>18</v>
      </c>
      <c r="G182" t="s">
        <v>10</v>
      </c>
    </row>
    <row r="183" spans="1:7" x14ac:dyDescent="0.2">
      <c r="A183" t="s">
        <v>196</v>
      </c>
      <c r="B183">
        <v>37</v>
      </c>
      <c r="C183">
        <v>40</v>
      </c>
      <c r="D183">
        <v>1480</v>
      </c>
      <c r="E183" t="s">
        <v>12</v>
      </c>
      <c r="F183" t="s">
        <v>9</v>
      </c>
      <c r="G183" t="s">
        <v>10</v>
      </c>
    </row>
    <row r="184" spans="1:7" x14ac:dyDescent="0.2">
      <c r="A184" t="s">
        <v>197</v>
      </c>
      <c r="B184">
        <v>23</v>
      </c>
      <c r="C184">
        <v>55</v>
      </c>
      <c r="D184">
        <v>1265</v>
      </c>
      <c r="E184" t="s">
        <v>8</v>
      </c>
      <c r="F184" t="s">
        <v>9</v>
      </c>
      <c r="G184" t="s">
        <v>10</v>
      </c>
    </row>
    <row r="185" spans="1:7" x14ac:dyDescent="0.2">
      <c r="A185" t="s">
        <v>198</v>
      </c>
      <c r="B185">
        <v>39</v>
      </c>
      <c r="C185">
        <v>100</v>
      </c>
      <c r="D185">
        <v>3900</v>
      </c>
      <c r="E185" t="s">
        <v>12</v>
      </c>
      <c r="F185" t="s">
        <v>13</v>
      </c>
      <c r="G185" t="s">
        <v>10</v>
      </c>
    </row>
    <row r="186" spans="1:7" x14ac:dyDescent="0.2">
      <c r="A186" t="s">
        <v>199</v>
      </c>
      <c r="B186">
        <v>45</v>
      </c>
      <c r="C186">
        <v>103</v>
      </c>
      <c r="D186">
        <v>4635</v>
      </c>
      <c r="E186" t="s">
        <v>12</v>
      </c>
      <c r="F186" t="s">
        <v>9</v>
      </c>
      <c r="G186" t="s">
        <v>10</v>
      </c>
    </row>
    <row r="187" spans="1:7" x14ac:dyDescent="0.2">
      <c r="A187" t="s">
        <v>200</v>
      </c>
      <c r="B187">
        <v>15</v>
      </c>
      <c r="C187">
        <v>102</v>
      </c>
      <c r="D187">
        <v>1530</v>
      </c>
      <c r="E187" t="s">
        <v>12</v>
      </c>
      <c r="F187" t="s">
        <v>9</v>
      </c>
      <c r="G187" t="s">
        <v>10</v>
      </c>
    </row>
    <row r="188" spans="1:7" x14ac:dyDescent="0.2">
      <c r="A188" t="s">
        <v>201</v>
      </c>
      <c r="B188">
        <v>43</v>
      </c>
      <c r="C188">
        <v>108</v>
      </c>
      <c r="D188">
        <v>4644</v>
      </c>
      <c r="E188" t="s">
        <v>12</v>
      </c>
      <c r="F188" t="s">
        <v>9</v>
      </c>
      <c r="G188" t="s">
        <v>10</v>
      </c>
    </row>
    <row r="189" spans="1:7" x14ac:dyDescent="0.2">
      <c r="A189" t="s">
        <v>202</v>
      </c>
      <c r="B189">
        <v>29</v>
      </c>
      <c r="C189">
        <v>61</v>
      </c>
      <c r="D189">
        <v>1769</v>
      </c>
      <c r="E189" t="s">
        <v>12</v>
      </c>
      <c r="F189" t="s">
        <v>18</v>
      </c>
      <c r="G189" t="s">
        <v>10</v>
      </c>
    </row>
    <row r="190" spans="1:7" x14ac:dyDescent="0.2">
      <c r="A190" t="s">
        <v>203</v>
      </c>
      <c r="B190">
        <v>36</v>
      </c>
      <c r="C190">
        <v>106</v>
      </c>
      <c r="D190">
        <v>3816</v>
      </c>
      <c r="E190" t="s">
        <v>15</v>
      </c>
      <c r="F190" t="s">
        <v>18</v>
      </c>
      <c r="G190" t="s">
        <v>10</v>
      </c>
    </row>
    <row r="191" spans="1:7" x14ac:dyDescent="0.2">
      <c r="A191" t="s">
        <v>204</v>
      </c>
      <c r="B191">
        <v>13</v>
      </c>
      <c r="C191">
        <v>115</v>
      </c>
      <c r="D191">
        <v>1495</v>
      </c>
      <c r="E191" t="s">
        <v>15</v>
      </c>
      <c r="F191" t="s">
        <v>13</v>
      </c>
      <c r="G191" t="s">
        <v>10</v>
      </c>
    </row>
    <row r="192" spans="1:7" x14ac:dyDescent="0.2">
      <c r="A192" t="s">
        <v>205</v>
      </c>
      <c r="B192">
        <v>32</v>
      </c>
      <c r="C192">
        <v>65</v>
      </c>
      <c r="D192">
        <v>2080</v>
      </c>
      <c r="E192" t="s">
        <v>12</v>
      </c>
      <c r="F192" t="s">
        <v>9</v>
      </c>
      <c r="G192" t="s">
        <v>10</v>
      </c>
    </row>
    <row r="193" spans="1:7" x14ac:dyDescent="0.2">
      <c r="A193" t="s">
        <v>206</v>
      </c>
      <c r="B193">
        <v>7</v>
      </c>
      <c r="C193">
        <v>55</v>
      </c>
      <c r="D193">
        <v>385</v>
      </c>
      <c r="E193" t="s">
        <v>12</v>
      </c>
      <c r="F193" t="s">
        <v>9</v>
      </c>
      <c r="G193" t="s">
        <v>26</v>
      </c>
    </row>
    <row r="194" spans="1:7" x14ac:dyDescent="0.2">
      <c r="A194" t="s">
        <v>207</v>
      </c>
      <c r="B194">
        <v>59</v>
      </c>
      <c r="C194">
        <v>90</v>
      </c>
      <c r="D194">
        <v>5310</v>
      </c>
      <c r="E194" t="s">
        <v>12</v>
      </c>
      <c r="F194" t="s">
        <v>13</v>
      </c>
      <c r="G194" t="s">
        <v>10</v>
      </c>
    </row>
    <row r="195" spans="1:7" x14ac:dyDescent="0.2">
      <c r="A195" t="s">
        <v>208</v>
      </c>
      <c r="B195">
        <v>51</v>
      </c>
      <c r="C195">
        <v>96</v>
      </c>
      <c r="D195">
        <v>4896</v>
      </c>
      <c r="E195" t="s">
        <v>8</v>
      </c>
      <c r="F195" t="s">
        <v>9</v>
      </c>
      <c r="G195" t="s">
        <v>10</v>
      </c>
    </row>
    <row r="196" spans="1:7" x14ac:dyDescent="0.2">
      <c r="A196" t="s">
        <v>209</v>
      </c>
      <c r="B196">
        <v>22</v>
      </c>
      <c r="C196">
        <v>68</v>
      </c>
      <c r="D196">
        <v>1496</v>
      </c>
      <c r="E196" t="s">
        <v>12</v>
      </c>
      <c r="F196" t="s">
        <v>9</v>
      </c>
      <c r="G196" t="s">
        <v>10</v>
      </c>
    </row>
    <row r="197" spans="1:7" x14ac:dyDescent="0.2">
      <c r="A197" t="s">
        <v>210</v>
      </c>
      <c r="B197">
        <v>28</v>
      </c>
      <c r="C197">
        <v>117</v>
      </c>
      <c r="D197">
        <v>3276</v>
      </c>
      <c r="E197" t="s">
        <v>15</v>
      </c>
      <c r="F197" t="s">
        <v>18</v>
      </c>
      <c r="G197" t="s">
        <v>10</v>
      </c>
    </row>
    <row r="198" spans="1:7" x14ac:dyDescent="0.2">
      <c r="A198" t="s">
        <v>211</v>
      </c>
      <c r="B198">
        <v>2</v>
      </c>
      <c r="C198">
        <v>108</v>
      </c>
      <c r="D198">
        <v>216</v>
      </c>
      <c r="E198" t="s">
        <v>8</v>
      </c>
      <c r="F198" t="s">
        <v>13</v>
      </c>
      <c r="G198" t="s">
        <v>10</v>
      </c>
    </row>
    <row r="199" spans="1:7" x14ac:dyDescent="0.2">
      <c r="A199" t="s">
        <v>212</v>
      </c>
      <c r="B199">
        <v>42</v>
      </c>
      <c r="C199">
        <v>86</v>
      </c>
      <c r="D199">
        <v>3612</v>
      </c>
      <c r="E199" t="s">
        <v>15</v>
      </c>
      <c r="F199" t="s">
        <v>13</v>
      </c>
      <c r="G199" t="s">
        <v>10</v>
      </c>
    </row>
    <row r="200" spans="1:7" x14ac:dyDescent="0.2">
      <c r="A200" t="s">
        <v>213</v>
      </c>
      <c r="B200">
        <v>45</v>
      </c>
      <c r="C200">
        <v>101</v>
      </c>
      <c r="D200">
        <v>4545</v>
      </c>
      <c r="E200" t="s">
        <v>8</v>
      </c>
      <c r="F200" t="s">
        <v>13</v>
      </c>
      <c r="G200" t="s">
        <v>10</v>
      </c>
    </row>
    <row r="201" spans="1:7" x14ac:dyDescent="0.2">
      <c r="A201" t="s">
        <v>214</v>
      </c>
      <c r="B201">
        <v>57</v>
      </c>
      <c r="C201">
        <v>108</v>
      </c>
      <c r="D201">
        <v>6156</v>
      </c>
      <c r="E201" t="s">
        <v>12</v>
      </c>
      <c r="F201" t="s">
        <v>13</v>
      </c>
      <c r="G201" t="s">
        <v>10</v>
      </c>
    </row>
    <row r="202" spans="1:7" x14ac:dyDescent="0.2">
      <c r="A202" t="s">
        <v>215</v>
      </c>
      <c r="B202">
        <v>53</v>
      </c>
      <c r="C202">
        <v>115</v>
      </c>
      <c r="D202">
        <v>6095</v>
      </c>
      <c r="E202" t="s">
        <v>15</v>
      </c>
      <c r="F202" t="s">
        <v>18</v>
      </c>
      <c r="G202" t="s">
        <v>10</v>
      </c>
    </row>
    <row r="203" spans="1:7" x14ac:dyDescent="0.2">
      <c r="A203" t="s">
        <v>216</v>
      </c>
      <c r="B203">
        <v>6</v>
      </c>
      <c r="C203">
        <v>55</v>
      </c>
      <c r="D203">
        <v>330</v>
      </c>
      <c r="E203" t="s">
        <v>15</v>
      </c>
      <c r="F203" t="s">
        <v>18</v>
      </c>
      <c r="G203" t="s">
        <v>10</v>
      </c>
    </row>
    <row r="204" spans="1:7" x14ac:dyDescent="0.2">
      <c r="A204" t="s">
        <v>217</v>
      </c>
      <c r="B204">
        <v>28</v>
      </c>
      <c r="C204">
        <v>87</v>
      </c>
      <c r="D204">
        <v>2436</v>
      </c>
      <c r="E204" t="s">
        <v>15</v>
      </c>
      <c r="F204" t="s">
        <v>9</v>
      </c>
      <c r="G204" t="s">
        <v>10</v>
      </c>
    </row>
    <row r="205" spans="1:7" x14ac:dyDescent="0.2">
      <c r="A205" t="s">
        <v>218</v>
      </c>
      <c r="B205">
        <v>28</v>
      </c>
      <c r="C205">
        <v>78</v>
      </c>
      <c r="D205">
        <v>2184</v>
      </c>
      <c r="E205" t="s">
        <v>12</v>
      </c>
      <c r="F205" t="s">
        <v>9</v>
      </c>
      <c r="G205" t="s">
        <v>10</v>
      </c>
    </row>
    <row r="206" spans="1:7" x14ac:dyDescent="0.2">
      <c r="A206" t="s">
        <v>219</v>
      </c>
      <c r="B206">
        <v>44</v>
      </c>
      <c r="C206">
        <v>72</v>
      </c>
      <c r="D206">
        <v>3168</v>
      </c>
      <c r="E206" t="s">
        <v>12</v>
      </c>
      <c r="F206" t="s">
        <v>9</v>
      </c>
      <c r="G206" t="s">
        <v>10</v>
      </c>
    </row>
    <row r="207" spans="1:7" x14ac:dyDescent="0.2">
      <c r="A207" t="s">
        <v>220</v>
      </c>
      <c r="B207">
        <v>44</v>
      </c>
      <c r="C207">
        <v>62</v>
      </c>
      <c r="D207">
        <v>2728</v>
      </c>
      <c r="E207" t="s">
        <v>12</v>
      </c>
      <c r="F207" t="s">
        <v>9</v>
      </c>
      <c r="G207" t="s">
        <v>10</v>
      </c>
    </row>
    <row r="208" spans="1:7" x14ac:dyDescent="0.2">
      <c r="A208" t="s">
        <v>221</v>
      </c>
      <c r="B208">
        <v>20</v>
      </c>
      <c r="C208">
        <v>49</v>
      </c>
      <c r="D208">
        <v>980</v>
      </c>
      <c r="E208" t="s">
        <v>15</v>
      </c>
      <c r="F208" t="s">
        <v>18</v>
      </c>
      <c r="G208" t="s">
        <v>10</v>
      </c>
    </row>
    <row r="209" spans="1:7" x14ac:dyDescent="0.2">
      <c r="A209" t="s">
        <v>222</v>
      </c>
      <c r="B209">
        <v>30</v>
      </c>
      <c r="C209">
        <v>108</v>
      </c>
      <c r="D209">
        <v>3240</v>
      </c>
      <c r="E209" t="s">
        <v>8</v>
      </c>
      <c r="F209" t="s">
        <v>13</v>
      </c>
      <c r="G209" t="s">
        <v>10</v>
      </c>
    </row>
    <row r="210" spans="1:7" x14ac:dyDescent="0.2">
      <c r="A210" t="s">
        <v>223</v>
      </c>
      <c r="B210">
        <v>11</v>
      </c>
      <c r="C210">
        <v>73</v>
      </c>
      <c r="D210">
        <v>803</v>
      </c>
      <c r="E210" t="s">
        <v>15</v>
      </c>
      <c r="F210" t="s">
        <v>18</v>
      </c>
      <c r="G210" t="s">
        <v>10</v>
      </c>
    </row>
    <row r="211" spans="1:7" x14ac:dyDescent="0.2">
      <c r="A211" t="s">
        <v>224</v>
      </c>
      <c r="B211">
        <v>58</v>
      </c>
      <c r="C211">
        <v>91</v>
      </c>
      <c r="D211">
        <v>5278</v>
      </c>
      <c r="E211" t="s">
        <v>12</v>
      </c>
      <c r="F211" t="s">
        <v>9</v>
      </c>
      <c r="G211" t="s">
        <v>10</v>
      </c>
    </row>
    <row r="212" spans="1:7" x14ac:dyDescent="0.2">
      <c r="A212" t="s">
        <v>225</v>
      </c>
      <c r="B212">
        <v>55</v>
      </c>
      <c r="C212">
        <v>49</v>
      </c>
      <c r="D212">
        <v>2695</v>
      </c>
      <c r="E212" t="s">
        <v>8</v>
      </c>
      <c r="F212" t="s">
        <v>18</v>
      </c>
      <c r="G212" t="s">
        <v>10</v>
      </c>
    </row>
    <row r="213" spans="1:7" x14ac:dyDescent="0.2">
      <c r="A213" t="s">
        <v>226</v>
      </c>
      <c r="B213">
        <v>28</v>
      </c>
      <c r="C213">
        <v>58</v>
      </c>
      <c r="D213">
        <v>1624</v>
      </c>
      <c r="E213" t="s">
        <v>12</v>
      </c>
      <c r="F213" t="s">
        <v>13</v>
      </c>
      <c r="G213" t="s">
        <v>10</v>
      </c>
    </row>
    <row r="214" spans="1:7" x14ac:dyDescent="0.2">
      <c r="A214" t="s">
        <v>227</v>
      </c>
      <c r="B214">
        <v>25</v>
      </c>
      <c r="C214">
        <v>97</v>
      </c>
      <c r="D214">
        <v>2425</v>
      </c>
      <c r="E214" t="s">
        <v>12</v>
      </c>
      <c r="F214" t="s">
        <v>13</v>
      </c>
      <c r="G214" t="s">
        <v>10</v>
      </c>
    </row>
    <row r="215" spans="1:7" x14ac:dyDescent="0.2">
      <c r="A215" t="s">
        <v>228</v>
      </c>
      <c r="B215">
        <v>39</v>
      </c>
      <c r="C215">
        <v>40</v>
      </c>
      <c r="D215">
        <v>1560</v>
      </c>
      <c r="E215" t="s">
        <v>12</v>
      </c>
      <c r="F215" t="s">
        <v>18</v>
      </c>
      <c r="G215" t="s">
        <v>10</v>
      </c>
    </row>
    <row r="216" spans="1:7" x14ac:dyDescent="0.2">
      <c r="A216" t="s">
        <v>229</v>
      </c>
      <c r="B216">
        <v>33</v>
      </c>
      <c r="C216">
        <v>108</v>
      </c>
      <c r="D216">
        <v>3564</v>
      </c>
      <c r="E216" t="s">
        <v>15</v>
      </c>
      <c r="F216" t="s">
        <v>18</v>
      </c>
      <c r="G216" t="s">
        <v>10</v>
      </c>
    </row>
    <row r="217" spans="1:7" x14ac:dyDescent="0.2">
      <c r="A217" t="s">
        <v>230</v>
      </c>
      <c r="B217">
        <v>1</v>
      </c>
      <c r="C217">
        <v>43</v>
      </c>
      <c r="D217">
        <v>43</v>
      </c>
      <c r="E217" t="s">
        <v>12</v>
      </c>
      <c r="F217" t="s">
        <v>18</v>
      </c>
      <c r="G217" t="s">
        <v>26</v>
      </c>
    </row>
    <row r="218" spans="1:7" x14ac:dyDescent="0.2">
      <c r="A218" t="s">
        <v>231</v>
      </c>
      <c r="B218">
        <v>57</v>
      </c>
      <c r="C218">
        <v>55</v>
      </c>
      <c r="D218">
        <v>3135</v>
      </c>
      <c r="E218" t="s">
        <v>15</v>
      </c>
      <c r="F218" t="s">
        <v>9</v>
      </c>
      <c r="G218" t="s">
        <v>10</v>
      </c>
    </row>
    <row r="219" spans="1:7" x14ac:dyDescent="0.2">
      <c r="A219" t="s">
        <v>232</v>
      </c>
      <c r="B219">
        <v>27</v>
      </c>
      <c r="C219">
        <v>63</v>
      </c>
      <c r="D219">
        <v>1701</v>
      </c>
      <c r="E219" t="s">
        <v>8</v>
      </c>
      <c r="F219" t="s">
        <v>18</v>
      </c>
      <c r="G219" t="s">
        <v>10</v>
      </c>
    </row>
    <row r="220" spans="1:7" x14ac:dyDescent="0.2">
      <c r="A220" t="s">
        <v>233</v>
      </c>
      <c r="B220">
        <v>57</v>
      </c>
      <c r="C220">
        <v>119</v>
      </c>
      <c r="D220">
        <v>6783</v>
      </c>
      <c r="E220" t="s">
        <v>12</v>
      </c>
      <c r="F220" t="s">
        <v>18</v>
      </c>
      <c r="G220" t="s">
        <v>10</v>
      </c>
    </row>
    <row r="221" spans="1:7" x14ac:dyDescent="0.2">
      <c r="A221" t="s">
        <v>234</v>
      </c>
      <c r="B221">
        <v>52</v>
      </c>
      <c r="C221">
        <v>41</v>
      </c>
      <c r="D221">
        <v>2132</v>
      </c>
      <c r="E221" t="s">
        <v>15</v>
      </c>
      <c r="F221" t="s">
        <v>18</v>
      </c>
      <c r="G221" t="s">
        <v>10</v>
      </c>
    </row>
    <row r="222" spans="1:7" x14ac:dyDescent="0.2">
      <c r="A222" t="s">
        <v>235</v>
      </c>
      <c r="B222">
        <v>13</v>
      </c>
      <c r="C222">
        <v>71</v>
      </c>
      <c r="D222">
        <v>923</v>
      </c>
      <c r="E222" t="s">
        <v>12</v>
      </c>
      <c r="F222" t="s">
        <v>13</v>
      </c>
      <c r="G222" t="s">
        <v>10</v>
      </c>
    </row>
    <row r="223" spans="1:7" x14ac:dyDescent="0.2">
      <c r="A223" t="s">
        <v>236</v>
      </c>
      <c r="B223">
        <v>41</v>
      </c>
      <c r="C223">
        <v>63</v>
      </c>
      <c r="D223">
        <v>2583</v>
      </c>
      <c r="E223" t="s">
        <v>12</v>
      </c>
      <c r="F223" t="s">
        <v>13</v>
      </c>
      <c r="G223" t="s">
        <v>10</v>
      </c>
    </row>
    <row r="224" spans="1:7" x14ac:dyDescent="0.2">
      <c r="A224" t="s">
        <v>237</v>
      </c>
      <c r="B224">
        <v>3</v>
      </c>
      <c r="C224">
        <v>51</v>
      </c>
      <c r="D224">
        <v>153</v>
      </c>
      <c r="E224" t="s">
        <v>12</v>
      </c>
      <c r="F224" t="s">
        <v>9</v>
      </c>
      <c r="G224" t="s">
        <v>26</v>
      </c>
    </row>
    <row r="225" spans="1:7" x14ac:dyDescent="0.2">
      <c r="A225" t="s">
        <v>238</v>
      </c>
      <c r="B225">
        <v>39</v>
      </c>
      <c r="C225">
        <v>89</v>
      </c>
      <c r="D225">
        <v>3471</v>
      </c>
      <c r="E225" t="s">
        <v>12</v>
      </c>
      <c r="F225" t="s">
        <v>9</v>
      </c>
      <c r="G225" t="s">
        <v>10</v>
      </c>
    </row>
    <row r="226" spans="1:7" x14ac:dyDescent="0.2">
      <c r="A226" t="s">
        <v>239</v>
      </c>
      <c r="B226">
        <v>6</v>
      </c>
      <c r="C226">
        <v>74</v>
      </c>
      <c r="D226">
        <v>444</v>
      </c>
      <c r="E226" t="s">
        <v>15</v>
      </c>
      <c r="F226" t="s">
        <v>13</v>
      </c>
      <c r="G226" t="s">
        <v>10</v>
      </c>
    </row>
    <row r="227" spans="1:7" x14ac:dyDescent="0.2">
      <c r="A227" t="s">
        <v>240</v>
      </c>
      <c r="B227">
        <v>8</v>
      </c>
      <c r="C227">
        <v>72</v>
      </c>
      <c r="D227">
        <v>576</v>
      </c>
      <c r="E227" t="s">
        <v>12</v>
      </c>
      <c r="F227" t="s">
        <v>13</v>
      </c>
      <c r="G227" t="s">
        <v>26</v>
      </c>
    </row>
    <row r="228" spans="1:7" x14ac:dyDescent="0.2">
      <c r="A228" t="s">
        <v>241</v>
      </c>
      <c r="B228">
        <v>27</v>
      </c>
      <c r="C228">
        <v>72</v>
      </c>
      <c r="D228">
        <v>1944</v>
      </c>
      <c r="E228" t="s">
        <v>15</v>
      </c>
      <c r="F228" t="s">
        <v>13</v>
      </c>
      <c r="G228" t="s">
        <v>10</v>
      </c>
    </row>
    <row r="229" spans="1:7" x14ac:dyDescent="0.2">
      <c r="A229" t="s">
        <v>242</v>
      </c>
      <c r="B229">
        <v>9</v>
      </c>
      <c r="C229">
        <v>100</v>
      </c>
      <c r="D229">
        <v>900</v>
      </c>
      <c r="E229" t="s">
        <v>15</v>
      </c>
      <c r="F229" t="s">
        <v>18</v>
      </c>
      <c r="G229" t="s">
        <v>10</v>
      </c>
    </row>
    <row r="230" spans="1:7" x14ac:dyDescent="0.2">
      <c r="A230" t="s">
        <v>243</v>
      </c>
      <c r="B230">
        <v>37</v>
      </c>
      <c r="C230">
        <v>90</v>
      </c>
      <c r="D230">
        <v>3330</v>
      </c>
      <c r="E230" t="s">
        <v>15</v>
      </c>
      <c r="F230" t="s">
        <v>18</v>
      </c>
      <c r="G230" t="s">
        <v>10</v>
      </c>
    </row>
    <row r="231" spans="1:7" x14ac:dyDescent="0.2">
      <c r="A231" t="s">
        <v>244</v>
      </c>
      <c r="B231">
        <v>33</v>
      </c>
      <c r="C231">
        <v>82</v>
      </c>
      <c r="D231">
        <v>2706</v>
      </c>
      <c r="E231" t="s">
        <v>15</v>
      </c>
      <c r="F231" t="s">
        <v>13</v>
      </c>
      <c r="G231" t="s">
        <v>10</v>
      </c>
    </row>
    <row r="232" spans="1:7" x14ac:dyDescent="0.2">
      <c r="A232" t="s">
        <v>245</v>
      </c>
      <c r="B232">
        <v>51</v>
      </c>
      <c r="C232">
        <v>51</v>
      </c>
      <c r="D232">
        <v>2601</v>
      </c>
      <c r="E232" t="s">
        <v>15</v>
      </c>
      <c r="F232" t="s">
        <v>18</v>
      </c>
      <c r="G232" t="s">
        <v>10</v>
      </c>
    </row>
    <row r="233" spans="1:7" x14ac:dyDescent="0.2">
      <c r="A233" t="s">
        <v>246</v>
      </c>
      <c r="B233">
        <v>42</v>
      </c>
      <c r="C233">
        <v>106</v>
      </c>
      <c r="D233">
        <v>4452</v>
      </c>
      <c r="E233" t="s">
        <v>12</v>
      </c>
      <c r="F233" t="s">
        <v>18</v>
      </c>
      <c r="G233" t="s">
        <v>10</v>
      </c>
    </row>
    <row r="234" spans="1:7" x14ac:dyDescent="0.2">
      <c r="A234" t="s">
        <v>247</v>
      </c>
      <c r="B234">
        <v>44</v>
      </c>
      <c r="C234">
        <v>104</v>
      </c>
      <c r="D234">
        <v>4576</v>
      </c>
      <c r="E234" t="s">
        <v>12</v>
      </c>
      <c r="F234" t="s">
        <v>9</v>
      </c>
      <c r="G234" t="s">
        <v>10</v>
      </c>
    </row>
    <row r="235" spans="1:7" x14ac:dyDescent="0.2">
      <c r="A235" t="s">
        <v>248</v>
      </c>
      <c r="B235">
        <v>24</v>
      </c>
      <c r="C235">
        <v>72</v>
      </c>
      <c r="D235">
        <v>1728</v>
      </c>
      <c r="E235" t="s">
        <v>8</v>
      </c>
      <c r="F235" t="s">
        <v>13</v>
      </c>
      <c r="G235" t="s">
        <v>10</v>
      </c>
    </row>
    <row r="236" spans="1:7" x14ac:dyDescent="0.2">
      <c r="A236" t="s">
        <v>249</v>
      </c>
      <c r="B236">
        <v>15</v>
      </c>
      <c r="C236">
        <v>79</v>
      </c>
      <c r="D236">
        <v>1185</v>
      </c>
      <c r="E236" t="s">
        <v>15</v>
      </c>
      <c r="F236" t="s">
        <v>13</v>
      </c>
      <c r="G236" t="s">
        <v>10</v>
      </c>
    </row>
    <row r="237" spans="1:7" x14ac:dyDescent="0.2">
      <c r="A237" t="s">
        <v>250</v>
      </c>
      <c r="B237">
        <v>59</v>
      </c>
      <c r="C237">
        <v>113</v>
      </c>
      <c r="D237">
        <v>6667</v>
      </c>
      <c r="E237" t="s">
        <v>12</v>
      </c>
      <c r="F237" t="s">
        <v>18</v>
      </c>
      <c r="G237" t="s">
        <v>10</v>
      </c>
    </row>
    <row r="238" spans="1:7" x14ac:dyDescent="0.2">
      <c r="A238" t="s">
        <v>251</v>
      </c>
      <c r="B238">
        <v>54</v>
      </c>
      <c r="C238">
        <v>82</v>
      </c>
      <c r="D238">
        <v>4428</v>
      </c>
      <c r="E238" t="s">
        <v>12</v>
      </c>
      <c r="F238" t="s">
        <v>13</v>
      </c>
      <c r="G238" t="s">
        <v>10</v>
      </c>
    </row>
    <row r="239" spans="1:7" x14ac:dyDescent="0.2">
      <c r="A239" t="s">
        <v>252</v>
      </c>
      <c r="B239">
        <v>32</v>
      </c>
      <c r="C239">
        <v>83</v>
      </c>
      <c r="D239">
        <v>2656</v>
      </c>
      <c r="E239" t="s">
        <v>12</v>
      </c>
      <c r="F239" t="s">
        <v>9</v>
      </c>
      <c r="G239" t="s">
        <v>10</v>
      </c>
    </row>
    <row r="240" spans="1:7" x14ac:dyDescent="0.2">
      <c r="A240" t="s">
        <v>253</v>
      </c>
      <c r="B240">
        <v>32</v>
      </c>
      <c r="C240">
        <v>68</v>
      </c>
      <c r="D240">
        <v>2176</v>
      </c>
      <c r="E240" t="s">
        <v>8</v>
      </c>
      <c r="F240" t="s">
        <v>9</v>
      </c>
      <c r="G240" t="s">
        <v>10</v>
      </c>
    </row>
    <row r="241" spans="1:7" x14ac:dyDescent="0.2">
      <c r="A241" t="s">
        <v>254</v>
      </c>
      <c r="B241">
        <v>24</v>
      </c>
      <c r="C241">
        <v>52</v>
      </c>
      <c r="D241">
        <v>1248</v>
      </c>
      <c r="E241" t="s">
        <v>12</v>
      </c>
      <c r="F241" t="s">
        <v>9</v>
      </c>
      <c r="G241" t="s">
        <v>10</v>
      </c>
    </row>
    <row r="242" spans="1:7" x14ac:dyDescent="0.2">
      <c r="A242" t="s">
        <v>255</v>
      </c>
      <c r="B242">
        <v>41</v>
      </c>
      <c r="C242">
        <v>51</v>
      </c>
      <c r="D242">
        <v>2091</v>
      </c>
      <c r="E242" t="s">
        <v>12</v>
      </c>
      <c r="F242" t="s">
        <v>13</v>
      </c>
      <c r="G242" t="s">
        <v>10</v>
      </c>
    </row>
    <row r="243" spans="1:7" x14ac:dyDescent="0.2">
      <c r="A243" t="s">
        <v>256</v>
      </c>
      <c r="B243">
        <v>52</v>
      </c>
      <c r="C243">
        <v>85</v>
      </c>
      <c r="D243">
        <v>4420</v>
      </c>
      <c r="E243" t="s">
        <v>12</v>
      </c>
      <c r="F243" t="s">
        <v>13</v>
      </c>
      <c r="G243" t="s">
        <v>10</v>
      </c>
    </row>
    <row r="244" spans="1:7" x14ac:dyDescent="0.2">
      <c r="A244" t="s">
        <v>257</v>
      </c>
      <c r="B244">
        <v>49</v>
      </c>
      <c r="C244">
        <v>41</v>
      </c>
      <c r="D244">
        <v>2009</v>
      </c>
      <c r="E244" t="s">
        <v>12</v>
      </c>
      <c r="F244" t="s">
        <v>13</v>
      </c>
      <c r="G244" t="s">
        <v>10</v>
      </c>
    </row>
    <row r="245" spans="1:7" x14ac:dyDescent="0.2">
      <c r="A245" t="s">
        <v>258</v>
      </c>
      <c r="B245">
        <v>49</v>
      </c>
      <c r="C245">
        <v>74</v>
      </c>
      <c r="D245">
        <v>3626</v>
      </c>
      <c r="E245" t="s">
        <v>8</v>
      </c>
      <c r="F245" t="s">
        <v>13</v>
      </c>
      <c r="G245" t="s">
        <v>10</v>
      </c>
    </row>
    <row r="246" spans="1:7" x14ac:dyDescent="0.2">
      <c r="A246" t="s">
        <v>259</v>
      </c>
      <c r="B246">
        <v>58</v>
      </c>
      <c r="C246">
        <v>47</v>
      </c>
      <c r="D246">
        <v>2726</v>
      </c>
      <c r="E246" t="s">
        <v>12</v>
      </c>
      <c r="F246" t="s">
        <v>13</v>
      </c>
      <c r="G246" t="s">
        <v>10</v>
      </c>
    </row>
    <row r="247" spans="1:7" x14ac:dyDescent="0.2">
      <c r="A247" t="s">
        <v>260</v>
      </c>
      <c r="B247">
        <v>52</v>
      </c>
      <c r="C247">
        <v>65</v>
      </c>
      <c r="D247">
        <v>3380</v>
      </c>
      <c r="E247" t="s">
        <v>8</v>
      </c>
      <c r="F247" t="s">
        <v>9</v>
      </c>
      <c r="G247" t="s">
        <v>10</v>
      </c>
    </row>
    <row r="248" spans="1:7" x14ac:dyDescent="0.2">
      <c r="A248" t="s">
        <v>261</v>
      </c>
      <c r="B248">
        <v>12</v>
      </c>
      <c r="C248">
        <v>113</v>
      </c>
      <c r="D248">
        <v>1356</v>
      </c>
      <c r="E248" t="s">
        <v>12</v>
      </c>
      <c r="F248" t="s">
        <v>18</v>
      </c>
      <c r="G248" t="s">
        <v>10</v>
      </c>
    </row>
    <row r="249" spans="1:7" x14ac:dyDescent="0.2">
      <c r="A249" t="s">
        <v>262</v>
      </c>
      <c r="B249">
        <v>39</v>
      </c>
      <c r="C249">
        <v>73</v>
      </c>
      <c r="D249">
        <v>2847</v>
      </c>
      <c r="E249" t="s">
        <v>8</v>
      </c>
      <c r="F249" t="s">
        <v>9</v>
      </c>
      <c r="G249" t="s">
        <v>10</v>
      </c>
    </row>
    <row r="250" spans="1:7" x14ac:dyDescent="0.2">
      <c r="A250" t="s">
        <v>263</v>
      </c>
      <c r="B250">
        <v>2</v>
      </c>
      <c r="C250">
        <v>46</v>
      </c>
      <c r="D250">
        <v>92</v>
      </c>
      <c r="E250" t="s">
        <v>12</v>
      </c>
      <c r="F250" t="s">
        <v>13</v>
      </c>
      <c r="G250" t="s">
        <v>26</v>
      </c>
    </row>
    <row r="251" spans="1:7" x14ac:dyDescent="0.2">
      <c r="A251" t="s">
        <v>264</v>
      </c>
      <c r="B251">
        <v>3</v>
      </c>
      <c r="C251">
        <v>107</v>
      </c>
      <c r="D251">
        <v>321</v>
      </c>
      <c r="E251" t="s">
        <v>12</v>
      </c>
      <c r="F251" t="s">
        <v>9</v>
      </c>
      <c r="G251" t="s">
        <v>26</v>
      </c>
    </row>
    <row r="252" spans="1:7" x14ac:dyDescent="0.2">
      <c r="A252" t="s">
        <v>265</v>
      </c>
      <c r="B252">
        <v>49</v>
      </c>
      <c r="C252">
        <v>97</v>
      </c>
      <c r="D252">
        <v>4753</v>
      </c>
      <c r="E252" t="s">
        <v>15</v>
      </c>
      <c r="F252" t="s">
        <v>13</v>
      </c>
      <c r="G252" t="s">
        <v>10</v>
      </c>
    </row>
    <row r="253" spans="1:7" x14ac:dyDescent="0.2">
      <c r="A253" t="s">
        <v>266</v>
      </c>
      <c r="B253">
        <v>37</v>
      </c>
      <c r="C253">
        <v>114</v>
      </c>
      <c r="D253">
        <v>4218</v>
      </c>
      <c r="E253" t="s">
        <v>8</v>
      </c>
      <c r="F253" t="s">
        <v>13</v>
      </c>
      <c r="G253" t="s">
        <v>10</v>
      </c>
    </row>
    <row r="254" spans="1:7" x14ac:dyDescent="0.2">
      <c r="A254" t="s">
        <v>267</v>
      </c>
      <c r="B254">
        <v>49</v>
      </c>
      <c r="C254">
        <v>68</v>
      </c>
      <c r="D254">
        <v>3332</v>
      </c>
      <c r="E254" t="s">
        <v>8</v>
      </c>
      <c r="F254" t="s">
        <v>9</v>
      </c>
      <c r="G254" t="s">
        <v>10</v>
      </c>
    </row>
    <row r="255" spans="1:7" x14ac:dyDescent="0.2">
      <c r="A255" t="s">
        <v>268</v>
      </c>
      <c r="B255">
        <v>56</v>
      </c>
      <c r="C255">
        <v>75</v>
      </c>
      <c r="D255">
        <v>4200</v>
      </c>
      <c r="E255" t="s">
        <v>15</v>
      </c>
      <c r="F255" t="s">
        <v>13</v>
      </c>
      <c r="G255" t="s">
        <v>10</v>
      </c>
    </row>
    <row r="256" spans="1:7" x14ac:dyDescent="0.2">
      <c r="A256" t="s">
        <v>269</v>
      </c>
      <c r="B256">
        <v>17</v>
      </c>
      <c r="C256">
        <v>60</v>
      </c>
      <c r="D256">
        <v>1020</v>
      </c>
      <c r="E256" t="s">
        <v>8</v>
      </c>
      <c r="F256" t="s">
        <v>18</v>
      </c>
      <c r="G256" t="s">
        <v>10</v>
      </c>
    </row>
    <row r="257" spans="1:7" x14ac:dyDescent="0.2">
      <c r="A257" t="s">
        <v>270</v>
      </c>
      <c r="B257">
        <v>59</v>
      </c>
      <c r="C257">
        <v>75</v>
      </c>
      <c r="D257">
        <v>4425</v>
      </c>
      <c r="E257" t="s">
        <v>12</v>
      </c>
      <c r="F257" t="s">
        <v>13</v>
      </c>
      <c r="G257" t="s">
        <v>10</v>
      </c>
    </row>
    <row r="258" spans="1:7" x14ac:dyDescent="0.2">
      <c r="A258" t="s">
        <v>271</v>
      </c>
      <c r="B258">
        <v>49</v>
      </c>
      <c r="C258">
        <v>49</v>
      </c>
      <c r="D258">
        <v>2401</v>
      </c>
      <c r="E258" t="s">
        <v>8</v>
      </c>
      <c r="F258" t="s">
        <v>18</v>
      </c>
      <c r="G258" t="s">
        <v>10</v>
      </c>
    </row>
    <row r="259" spans="1:7" x14ac:dyDescent="0.2">
      <c r="A259" t="s">
        <v>272</v>
      </c>
      <c r="B259">
        <v>2</v>
      </c>
      <c r="C259">
        <v>112</v>
      </c>
      <c r="D259">
        <v>224</v>
      </c>
      <c r="E259" t="s">
        <v>12</v>
      </c>
      <c r="F259" t="s">
        <v>18</v>
      </c>
      <c r="G259" t="s">
        <v>26</v>
      </c>
    </row>
    <row r="260" spans="1:7" x14ac:dyDescent="0.2">
      <c r="A260" t="s">
        <v>273</v>
      </c>
      <c r="B260">
        <v>2</v>
      </c>
      <c r="C260">
        <v>63</v>
      </c>
      <c r="D260">
        <v>126</v>
      </c>
      <c r="E260" t="s">
        <v>15</v>
      </c>
      <c r="F260" t="s">
        <v>13</v>
      </c>
      <c r="G260" t="s">
        <v>10</v>
      </c>
    </row>
    <row r="261" spans="1:7" x14ac:dyDescent="0.2">
      <c r="A261" t="s">
        <v>274</v>
      </c>
      <c r="B261">
        <v>28</v>
      </c>
      <c r="C261">
        <v>103</v>
      </c>
      <c r="D261">
        <v>2884</v>
      </c>
      <c r="E261" t="s">
        <v>8</v>
      </c>
      <c r="F261" t="s">
        <v>9</v>
      </c>
      <c r="G261" t="s">
        <v>10</v>
      </c>
    </row>
    <row r="262" spans="1:7" x14ac:dyDescent="0.2">
      <c r="A262" t="s">
        <v>275</v>
      </c>
      <c r="B262">
        <v>54</v>
      </c>
      <c r="C262">
        <v>88</v>
      </c>
      <c r="D262">
        <v>4752</v>
      </c>
      <c r="E262" t="s">
        <v>15</v>
      </c>
      <c r="F262" t="s">
        <v>18</v>
      </c>
      <c r="G262" t="s">
        <v>10</v>
      </c>
    </row>
    <row r="263" spans="1:7" x14ac:dyDescent="0.2">
      <c r="A263" t="s">
        <v>276</v>
      </c>
      <c r="B263">
        <v>23</v>
      </c>
      <c r="C263">
        <v>75</v>
      </c>
      <c r="D263">
        <v>1725</v>
      </c>
      <c r="E263" t="s">
        <v>15</v>
      </c>
      <c r="F263" t="s">
        <v>9</v>
      </c>
      <c r="G263" t="s">
        <v>10</v>
      </c>
    </row>
    <row r="264" spans="1:7" x14ac:dyDescent="0.2">
      <c r="A264" t="s">
        <v>277</v>
      </c>
      <c r="B264">
        <v>37</v>
      </c>
      <c r="C264">
        <v>63</v>
      </c>
      <c r="D264">
        <v>2331</v>
      </c>
      <c r="E264" t="s">
        <v>12</v>
      </c>
      <c r="F264" t="s">
        <v>18</v>
      </c>
      <c r="G264" t="s">
        <v>10</v>
      </c>
    </row>
    <row r="265" spans="1:7" x14ac:dyDescent="0.2">
      <c r="A265" t="s">
        <v>278</v>
      </c>
      <c r="B265">
        <v>32</v>
      </c>
      <c r="C265">
        <v>62</v>
      </c>
      <c r="D265">
        <v>1984</v>
      </c>
      <c r="E265" t="s">
        <v>8</v>
      </c>
      <c r="F265" t="s">
        <v>13</v>
      </c>
      <c r="G265" t="s">
        <v>10</v>
      </c>
    </row>
    <row r="266" spans="1:7" x14ac:dyDescent="0.2">
      <c r="A266" t="s">
        <v>279</v>
      </c>
      <c r="B266">
        <v>33</v>
      </c>
      <c r="C266">
        <v>101</v>
      </c>
      <c r="D266">
        <v>3333</v>
      </c>
      <c r="E266" t="s">
        <v>12</v>
      </c>
      <c r="F266" t="s">
        <v>13</v>
      </c>
      <c r="G266" t="s">
        <v>10</v>
      </c>
    </row>
    <row r="267" spans="1:7" x14ac:dyDescent="0.2">
      <c r="A267" t="s">
        <v>280</v>
      </c>
      <c r="B267">
        <v>1</v>
      </c>
      <c r="C267">
        <v>76</v>
      </c>
      <c r="D267">
        <v>76</v>
      </c>
      <c r="E267" t="s">
        <v>8</v>
      </c>
      <c r="F267" t="s">
        <v>18</v>
      </c>
      <c r="G267" t="s">
        <v>10</v>
      </c>
    </row>
    <row r="268" spans="1:7" x14ac:dyDescent="0.2">
      <c r="A268" t="s">
        <v>281</v>
      </c>
      <c r="B268">
        <v>19</v>
      </c>
      <c r="C268">
        <v>51</v>
      </c>
      <c r="D268">
        <v>969</v>
      </c>
      <c r="E268" t="s">
        <v>15</v>
      </c>
      <c r="F268" t="s">
        <v>13</v>
      </c>
      <c r="G268" t="s">
        <v>10</v>
      </c>
    </row>
    <row r="269" spans="1:7" x14ac:dyDescent="0.2">
      <c r="A269" t="s">
        <v>282</v>
      </c>
      <c r="B269">
        <v>2</v>
      </c>
      <c r="C269">
        <v>94</v>
      </c>
      <c r="D269">
        <v>188</v>
      </c>
      <c r="E269" t="s">
        <v>12</v>
      </c>
      <c r="F269" t="s">
        <v>18</v>
      </c>
      <c r="G269" t="s">
        <v>26</v>
      </c>
    </row>
    <row r="270" spans="1:7" x14ac:dyDescent="0.2">
      <c r="A270" t="s">
        <v>283</v>
      </c>
      <c r="B270">
        <v>53</v>
      </c>
      <c r="C270">
        <v>52</v>
      </c>
      <c r="D270">
        <v>2756</v>
      </c>
      <c r="E270" t="s">
        <v>15</v>
      </c>
      <c r="F270" t="s">
        <v>13</v>
      </c>
      <c r="G270" t="s">
        <v>10</v>
      </c>
    </row>
    <row r="271" spans="1:7" x14ac:dyDescent="0.2">
      <c r="A271" t="s">
        <v>284</v>
      </c>
      <c r="B271">
        <v>44</v>
      </c>
      <c r="C271">
        <v>62</v>
      </c>
      <c r="D271">
        <v>2728</v>
      </c>
      <c r="E271" t="s">
        <v>15</v>
      </c>
      <c r="F271" t="s">
        <v>9</v>
      </c>
      <c r="G271" t="s">
        <v>10</v>
      </c>
    </row>
    <row r="272" spans="1:7" x14ac:dyDescent="0.2">
      <c r="A272" t="s">
        <v>285</v>
      </c>
      <c r="B272">
        <v>26</v>
      </c>
      <c r="C272">
        <v>69</v>
      </c>
      <c r="D272">
        <v>1794</v>
      </c>
      <c r="E272" t="s">
        <v>15</v>
      </c>
      <c r="F272" t="s">
        <v>13</v>
      </c>
      <c r="G272" t="s">
        <v>10</v>
      </c>
    </row>
    <row r="273" spans="1:7" x14ac:dyDescent="0.2">
      <c r="A273" t="s">
        <v>286</v>
      </c>
      <c r="B273">
        <v>32</v>
      </c>
      <c r="C273">
        <v>56</v>
      </c>
      <c r="D273">
        <v>1792</v>
      </c>
      <c r="E273" t="s">
        <v>15</v>
      </c>
      <c r="F273" t="s">
        <v>9</v>
      </c>
      <c r="G273" t="s">
        <v>10</v>
      </c>
    </row>
    <row r="274" spans="1:7" x14ac:dyDescent="0.2">
      <c r="A274" t="s">
        <v>287</v>
      </c>
      <c r="B274">
        <v>6</v>
      </c>
      <c r="C274">
        <v>101</v>
      </c>
      <c r="D274">
        <v>606</v>
      </c>
      <c r="E274" t="s">
        <v>12</v>
      </c>
      <c r="F274" t="s">
        <v>13</v>
      </c>
      <c r="G274" t="s">
        <v>26</v>
      </c>
    </row>
    <row r="275" spans="1:7" x14ac:dyDescent="0.2">
      <c r="A275" t="s">
        <v>288</v>
      </c>
      <c r="B275">
        <v>32</v>
      </c>
      <c r="C275">
        <v>52</v>
      </c>
      <c r="D275">
        <v>1664</v>
      </c>
      <c r="E275" t="s">
        <v>15</v>
      </c>
      <c r="F275" t="s">
        <v>9</v>
      </c>
      <c r="G275" t="s">
        <v>10</v>
      </c>
    </row>
    <row r="276" spans="1:7" x14ac:dyDescent="0.2">
      <c r="A276" t="s">
        <v>289</v>
      </c>
      <c r="B276">
        <v>55</v>
      </c>
      <c r="C276">
        <v>98</v>
      </c>
      <c r="D276">
        <v>5390</v>
      </c>
      <c r="E276" t="s">
        <v>8</v>
      </c>
      <c r="F276" t="s">
        <v>13</v>
      </c>
      <c r="G276" t="s">
        <v>10</v>
      </c>
    </row>
    <row r="277" spans="1:7" x14ac:dyDescent="0.2">
      <c r="A277" t="s">
        <v>290</v>
      </c>
      <c r="B277">
        <v>4</v>
      </c>
      <c r="C277">
        <v>58</v>
      </c>
      <c r="D277">
        <v>232</v>
      </c>
      <c r="E277" t="s">
        <v>12</v>
      </c>
      <c r="F277" t="s">
        <v>9</v>
      </c>
      <c r="G277" t="s">
        <v>26</v>
      </c>
    </row>
    <row r="278" spans="1:7" x14ac:dyDescent="0.2">
      <c r="A278" t="s">
        <v>291</v>
      </c>
      <c r="B278">
        <v>55</v>
      </c>
      <c r="C278">
        <v>88</v>
      </c>
      <c r="D278">
        <v>4840</v>
      </c>
      <c r="E278" t="s">
        <v>15</v>
      </c>
      <c r="F278" t="s">
        <v>18</v>
      </c>
      <c r="G278" t="s">
        <v>10</v>
      </c>
    </row>
    <row r="279" spans="1:7" x14ac:dyDescent="0.2">
      <c r="A279" t="s">
        <v>292</v>
      </c>
      <c r="B279">
        <v>11</v>
      </c>
      <c r="C279">
        <v>51</v>
      </c>
      <c r="D279">
        <v>561</v>
      </c>
      <c r="E279" t="s">
        <v>12</v>
      </c>
      <c r="F279" t="s">
        <v>18</v>
      </c>
      <c r="G279" t="s">
        <v>26</v>
      </c>
    </row>
    <row r="280" spans="1:7" x14ac:dyDescent="0.2">
      <c r="A280" t="s">
        <v>293</v>
      </c>
      <c r="B280">
        <v>56</v>
      </c>
      <c r="C280">
        <v>100</v>
      </c>
      <c r="D280">
        <v>5600</v>
      </c>
      <c r="E280" t="s">
        <v>12</v>
      </c>
      <c r="F280" t="s">
        <v>9</v>
      </c>
      <c r="G280" t="s">
        <v>10</v>
      </c>
    </row>
    <row r="281" spans="1:7" x14ac:dyDescent="0.2">
      <c r="A281" t="s">
        <v>294</v>
      </c>
      <c r="B281">
        <v>59</v>
      </c>
      <c r="C281">
        <v>58</v>
      </c>
      <c r="D281">
        <v>3422</v>
      </c>
      <c r="E281" t="s">
        <v>15</v>
      </c>
      <c r="F281" t="s">
        <v>13</v>
      </c>
      <c r="G281" t="s">
        <v>10</v>
      </c>
    </row>
    <row r="282" spans="1:7" x14ac:dyDescent="0.2">
      <c r="A282" t="s">
        <v>295</v>
      </c>
      <c r="B282">
        <v>17</v>
      </c>
      <c r="C282">
        <v>115</v>
      </c>
      <c r="D282">
        <v>1955</v>
      </c>
      <c r="E282" t="s">
        <v>15</v>
      </c>
      <c r="F282" t="s">
        <v>9</v>
      </c>
      <c r="G282" t="s">
        <v>10</v>
      </c>
    </row>
    <row r="283" spans="1:7" x14ac:dyDescent="0.2">
      <c r="A283" t="s">
        <v>296</v>
      </c>
      <c r="B283">
        <v>38</v>
      </c>
      <c r="C283">
        <v>48</v>
      </c>
      <c r="D283">
        <v>1824</v>
      </c>
      <c r="E283" t="s">
        <v>12</v>
      </c>
      <c r="F283" t="s">
        <v>13</v>
      </c>
      <c r="G283" t="s">
        <v>10</v>
      </c>
    </row>
    <row r="284" spans="1:7" x14ac:dyDescent="0.2">
      <c r="A284" t="s">
        <v>297</v>
      </c>
      <c r="B284">
        <v>24</v>
      </c>
      <c r="C284">
        <v>110</v>
      </c>
      <c r="D284">
        <v>2640</v>
      </c>
      <c r="E284" t="s">
        <v>15</v>
      </c>
      <c r="F284" t="s">
        <v>18</v>
      </c>
      <c r="G284" t="s">
        <v>10</v>
      </c>
    </row>
    <row r="285" spans="1:7" x14ac:dyDescent="0.2">
      <c r="A285" t="s">
        <v>298</v>
      </c>
      <c r="B285">
        <v>5</v>
      </c>
      <c r="C285">
        <v>67</v>
      </c>
      <c r="D285">
        <v>335</v>
      </c>
      <c r="E285" t="s">
        <v>12</v>
      </c>
      <c r="F285" t="s">
        <v>13</v>
      </c>
      <c r="G285" t="s">
        <v>26</v>
      </c>
    </row>
    <row r="286" spans="1:7" x14ac:dyDescent="0.2">
      <c r="A286" t="s">
        <v>299</v>
      </c>
      <c r="B286">
        <v>52</v>
      </c>
      <c r="C286">
        <v>117</v>
      </c>
      <c r="D286">
        <v>6084</v>
      </c>
      <c r="E286" t="s">
        <v>12</v>
      </c>
      <c r="F286" t="s">
        <v>18</v>
      </c>
      <c r="G286" t="s">
        <v>10</v>
      </c>
    </row>
    <row r="287" spans="1:7" x14ac:dyDescent="0.2">
      <c r="A287" t="s">
        <v>300</v>
      </c>
      <c r="B287">
        <v>34</v>
      </c>
      <c r="C287">
        <v>91</v>
      </c>
      <c r="D287">
        <v>3094</v>
      </c>
      <c r="E287" t="s">
        <v>12</v>
      </c>
      <c r="F287" t="s">
        <v>13</v>
      </c>
      <c r="G287" t="s">
        <v>10</v>
      </c>
    </row>
    <row r="288" spans="1:7" x14ac:dyDescent="0.2">
      <c r="A288" t="s">
        <v>301</v>
      </c>
      <c r="B288">
        <v>6</v>
      </c>
      <c r="C288">
        <v>55</v>
      </c>
      <c r="D288">
        <v>330</v>
      </c>
      <c r="E288" t="s">
        <v>12</v>
      </c>
      <c r="F288" t="s">
        <v>13</v>
      </c>
      <c r="G288" t="s">
        <v>26</v>
      </c>
    </row>
    <row r="289" spans="1:7" x14ac:dyDescent="0.2">
      <c r="A289" t="s">
        <v>302</v>
      </c>
      <c r="B289">
        <v>22</v>
      </c>
      <c r="C289">
        <v>108</v>
      </c>
      <c r="D289">
        <v>2376</v>
      </c>
      <c r="E289" t="s">
        <v>12</v>
      </c>
      <c r="F289" t="s">
        <v>13</v>
      </c>
      <c r="G289" t="s">
        <v>10</v>
      </c>
    </row>
    <row r="290" spans="1:7" x14ac:dyDescent="0.2">
      <c r="A290" t="s">
        <v>303</v>
      </c>
      <c r="B290">
        <v>11</v>
      </c>
      <c r="C290">
        <v>51</v>
      </c>
      <c r="D290">
        <v>561</v>
      </c>
      <c r="E290" t="s">
        <v>15</v>
      </c>
      <c r="F290" t="s">
        <v>9</v>
      </c>
      <c r="G290" t="s">
        <v>10</v>
      </c>
    </row>
    <row r="291" spans="1:7" x14ac:dyDescent="0.2">
      <c r="A291" t="s">
        <v>304</v>
      </c>
      <c r="B291">
        <v>48</v>
      </c>
      <c r="C291">
        <v>64</v>
      </c>
      <c r="D291">
        <v>3072</v>
      </c>
      <c r="E291" t="s">
        <v>15</v>
      </c>
      <c r="F291" t="s">
        <v>9</v>
      </c>
      <c r="G291" t="s">
        <v>10</v>
      </c>
    </row>
    <row r="292" spans="1:7" x14ac:dyDescent="0.2">
      <c r="A292" t="s">
        <v>305</v>
      </c>
      <c r="B292">
        <v>16</v>
      </c>
      <c r="C292">
        <v>91</v>
      </c>
      <c r="D292">
        <v>1456</v>
      </c>
      <c r="E292" t="s">
        <v>12</v>
      </c>
      <c r="F292" t="s">
        <v>18</v>
      </c>
      <c r="G292" t="s">
        <v>10</v>
      </c>
    </row>
    <row r="293" spans="1:7" x14ac:dyDescent="0.2">
      <c r="A293" t="s">
        <v>306</v>
      </c>
      <c r="B293">
        <v>33</v>
      </c>
      <c r="C293">
        <v>92</v>
      </c>
      <c r="D293">
        <v>3036</v>
      </c>
      <c r="E293" t="s">
        <v>8</v>
      </c>
      <c r="F293" t="s">
        <v>18</v>
      </c>
      <c r="G293" t="s">
        <v>10</v>
      </c>
    </row>
    <row r="294" spans="1:7" x14ac:dyDescent="0.2">
      <c r="A294" t="s">
        <v>307</v>
      </c>
      <c r="B294">
        <v>9</v>
      </c>
      <c r="C294">
        <v>62</v>
      </c>
      <c r="D294">
        <v>558</v>
      </c>
      <c r="E294" t="s">
        <v>15</v>
      </c>
      <c r="F294" t="s">
        <v>9</v>
      </c>
      <c r="G294" t="s">
        <v>10</v>
      </c>
    </row>
    <row r="295" spans="1:7" x14ac:dyDescent="0.2">
      <c r="A295" t="s">
        <v>308</v>
      </c>
      <c r="B295">
        <v>59</v>
      </c>
      <c r="C295">
        <v>55</v>
      </c>
      <c r="D295">
        <v>3245</v>
      </c>
      <c r="E295" t="s">
        <v>12</v>
      </c>
      <c r="F295" t="s">
        <v>18</v>
      </c>
      <c r="G295" t="s">
        <v>10</v>
      </c>
    </row>
    <row r="296" spans="1:7" x14ac:dyDescent="0.2">
      <c r="A296" t="s">
        <v>309</v>
      </c>
      <c r="B296">
        <v>6</v>
      </c>
      <c r="C296">
        <v>96</v>
      </c>
      <c r="D296">
        <v>576</v>
      </c>
      <c r="E296" t="s">
        <v>8</v>
      </c>
      <c r="F296" t="s">
        <v>9</v>
      </c>
      <c r="G296" t="s">
        <v>10</v>
      </c>
    </row>
    <row r="297" spans="1:7" x14ac:dyDescent="0.2">
      <c r="A297" t="s">
        <v>310</v>
      </c>
      <c r="B297">
        <v>16</v>
      </c>
      <c r="C297">
        <v>78</v>
      </c>
      <c r="D297">
        <v>1248</v>
      </c>
      <c r="E297" t="s">
        <v>8</v>
      </c>
      <c r="F297" t="s">
        <v>13</v>
      </c>
      <c r="G297" t="s">
        <v>10</v>
      </c>
    </row>
    <row r="298" spans="1:7" x14ac:dyDescent="0.2">
      <c r="A298" t="s">
        <v>311</v>
      </c>
      <c r="B298">
        <v>29</v>
      </c>
      <c r="C298">
        <v>92</v>
      </c>
      <c r="D298">
        <v>2668</v>
      </c>
      <c r="E298" t="s">
        <v>12</v>
      </c>
      <c r="F298" t="s">
        <v>18</v>
      </c>
      <c r="G298" t="s">
        <v>10</v>
      </c>
    </row>
    <row r="299" spans="1:7" x14ac:dyDescent="0.2">
      <c r="A299" t="s">
        <v>312</v>
      </c>
      <c r="B299">
        <v>3</v>
      </c>
      <c r="C299">
        <v>81</v>
      </c>
      <c r="D299">
        <v>243</v>
      </c>
      <c r="E299" t="s">
        <v>12</v>
      </c>
      <c r="F299" t="s">
        <v>18</v>
      </c>
      <c r="G299" t="s">
        <v>26</v>
      </c>
    </row>
    <row r="300" spans="1:7" x14ac:dyDescent="0.2">
      <c r="A300" t="s">
        <v>313</v>
      </c>
      <c r="B300">
        <v>20</v>
      </c>
      <c r="C300">
        <v>97</v>
      </c>
      <c r="D300">
        <v>1940</v>
      </c>
      <c r="E300" t="s">
        <v>8</v>
      </c>
      <c r="F300" t="s">
        <v>9</v>
      </c>
      <c r="G300" t="s">
        <v>10</v>
      </c>
    </row>
    <row r="301" spans="1:7" x14ac:dyDescent="0.2">
      <c r="A301" t="s">
        <v>314</v>
      </c>
      <c r="B301">
        <v>59</v>
      </c>
      <c r="C301">
        <v>78</v>
      </c>
      <c r="D301">
        <v>4602</v>
      </c>
      <c r="E301" t="s">
        <v>15</v>
      </c>
      <c r="F301" t="s">
        <v>18</v>
      </c>
      <c r="G3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tables</vt:lpstr>
      <vt:lpstr>customer_churn_large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Nirali Ashokbhai PATEL</dc:creator>
  <cp:lastModifiedBy>Nirali Ashokbhai PATEL</cp:lastModifiedBy>
  <dcterms:created xsi:type="dcterms:W3CDTF">2026-01-04T10:49:31Z</dcterms:created>
  <dcterms:modified xsi:type="dcterms:W3CDTF">2026-01-05T03:51:09Z</dcterms:modified>
</cp:coreProperties>
</file>